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mc:AlternateContent xmlns:mc="http://schemas.openxmlformats.org/markup-compatibility/2006">
    <mc:Choice Requires="x15">
      <x15ac:absPath xmlns:x15ac="http://schemas.microsoft.com/office/spreadsheetml/2010/11/ac" url="/Users/phong.do/Projects/personal/stock-agent/app/static/"/>
    </mc:Choice>
  </mc:AlternateContent>
  <xr:revisionPtr revIDLastSave="0" documentId="13_ncr:1_{2944F899-954E-1A48-94C9-282C9F73C957}" xr6:coauthVersionLast="47" xr6:coauthVersionMax="47" xr10:uidLastSave="{00000000-0000-0000-0000-000000000000}"/>
  <bookViews>
    <workbookView xWindow="1340" yWindow="620" windowWidth="49860" windowHeight="28180" activeTab="1" xr2:uid="{214BE7E9-32F3-A64F-883E-A8F3FB68EC97}"/>
  </bookViews>
  <sheets>
    <sheet name="Dashboard" sheetId="1" r:id="rId1"/>
    <sheet name="Portfolio" sheetId="2" r:id="rId2"/>
    <sheet name="_prices (internal)" sheetId="6" state="hidden" r:id="rId3"/>
    <sheet name="_symbols (internal)" sheetId="5" state="hidden" r:id="rId4"/>
    <sheet name="_pivot table 1 (internal)" sheetId="7" state="hidden" r:id="rId5"/>
    <sheet name="_pivot table 2 (internal)" sheetId="8" state="hidden" r:id="rId6"/>
    <sheet name="_pivot table 3 (internal)" sheetId="9" state="hidden" r:id="rId7"/>
    <sheet name="_pivot table 4 (internal)" sheetId="10" state="hidden" r:id="rId8"/>
    <sheet name="_pivot table 5 (internal)" sheetId="12" state="hidden" r:id="rId9"/>
  </sheets>
  <definedNames>
    <definedName name="ExternalData_1" localSheetId="3" hidden="1">'_symbols (internal)'!$A$1:$C$1732</definedName>
    <definedName name="ExternalData_2" localSheetId="2" hidden="1">'_prices (internal)'!$A$1:$E$2</definedName>
    <definedName name="SymbolList">Symbols[Symbol]</definedName>
  </definedNames>
  <calcPr calcId="191028"/>
  <pivotCaches>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2" l="1"/>
  <c r="I4" i="2" a="1"/>
  <c r="I4" i="2" s="1"/>
  <c r="B4" i="2"/>
  <c r="C4" i="2"/>
  <c r="H4" i="2" a="1"/>
  <c r="H4" i="2" s="1"/>
  <c r="N4" i="2" s="1"/>
  <c r="J4" i="2"/>
  <c r="Q4" i="2"/>
  <c r="B12" i="1"/>
  <c r="C12" i="1" s="1"/>
  <c r="B20" i="1"/>
  <c r="J5" i="2" l="1"/>
  <c r="N5" i="2"/>
  <c r="Q5" i="2"/>
  <c r="B15" i="1" s="1"/>
  <c r="O4" i="2"/>
  <c r="B3" i="1"/>
  <c r="B13" i="1" s="1"/>
  <c r="B16" i="1"/>
  <c r="B17" i="1"/>
  <c r="P4" i="2" l="1"/>
  <c r="T4" i="2"/>
  <c r="T5" i="2" s="1"/>
  <c r="B9" i="1" s="1"/>
  <c r="C23" i="1" a="1"/>
  <c r="C23" i="1" s="1"/>
  <c r="B23" i="1" a="1"/>
  <c r="B23" i="1" s="1"/>
  <c r="B25" i="1" a="1"/>
  <c r="B25" i="1" s="1"/>
  <c r="B22" i="1" a="1"/>
  <c r="B22" i="1" s="1"/>
  <c r="B21" i="1" a="1"/>
  <c r="B21" i="1" s="1"/>
  <c r="O5" i="2"/>
  <c r="C3" i="1"/>
  <c r="B14" i="1"/>
  <c r="B6" i="1"/>
  <c r="C6" i="1" s="1"/>
  <c r="C22" i="1" a="1"/>
  <c r="C22" i="1" s="1"/>
  <c r="B5" i="1"/>
  <c r="C5" i="1" s="1"/>
  <c r="B4" i="1"/>
  <c r="C4" i="1" s="1"/>
  <c r="B24" i="1"/>
  <c r="R4" i="2" l="1"/>
  <c r="P5" i="2"/>
  <c r="C7" i="1" s="1"/>
  <c r="B26" i="1"/>
  <c r="B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tc={A5DCFD5A-B410-3349-AFA5-D9B112F9EBA1}</author>
    <author>tc={74C8D758-2051-9944-884D-766076C04619}</author>
    <author>tc={703C33E7-DAC8-9A43-8101-2FB355D16C4A}</author>
    <author>tc={70A09A4D-5059-D949-A5A9-3123828B6656}</author>
    <author>tc={C856ED8E-3943-F54D-97DB-BFEB0AFD33E7}</author>
    <author>tc={2C46071B-62A6-3B48-833B-EDDE305F176C}</author>
    <author>tc={94EE25AE-A172-3448-B601-077FED2E76A0}</author>
    <author>tc={AC7D6E46-E029-DC4F-9858-40158EBCA274}</author>
    <author>tc={7C00E3A1-7840-C54A-86FF-0F3ECB44A034}</author>
    <author>tc={19307493-BC06-0A47-BA89-D1FCFA795F1E}</author>
    <author>tc={2337768F-3481-9D41-9012-2FDF032A1626}</author>
    <author>tc={16C177C2-A6C4-C247-8C5F-0349B8804F44}</author>
    <author>tc={6273C702-8E18-4C4B-A994-E1A1401B1C62}</author>
    <author>tc={C8F85ACD-42DB-DB4D-B294-8F610E69D1FE}</author>
    <author>tc={6A4F476C-2153-964C-B144-760130CAFC50}</author>
    <author>tc={0942BD29-40A9-6C4E-9031-9166651ED18D}</author>
    <author>tc={11301A71-C746-D74C-AA94-7FE66FC9CA42}</author>
    <author>tc={13CA8557-A4B0-A746-BFC7-376025D2CDB5}</author>
    <author>tc={91401F9F-6781-DA42-8F7C-944C6AC0B3B1}</author>
  </authors>
  <commentList>
    <comment ref="A2" authorId="0" shapeId="0" xr:uid="{A5DCFD5A-B410-3349-AFA5-D9B112F9EBA1}">
      <text>
        <t>[Threaded comment]
Your version of Excel allows you to read this threaded comment; however, any edits to it will get removed if the file is opened in a newer version of Excel. Learn more: https://go.microsoft.com/fwlink/?linkid=870924
Comment:
    Tổng số vốn đầu tư (không tính lợi nhuận)</t>
      </text>
    </comment>
    <comment ref="A3" authorId="1" shapeId="0" xr:uid="{74C8D758-2051-9944-884D-766076C04619}">
      <text>
        <t>[Threaded comment]
Your version of Excel allows you to read this threaded comment; however, any edits to it will get removed if the file is opened in a newer version of Excel. Learn more: https://go.microsoft.com/fwlink/?linkid=870924
Comment:
    Tổng số vốn đang đầu tư trong danh mục (chỉ vị thế đang mở / dự định mở, không tính lãi / lỗ)</t>
      </text>
    </comment>
    <comment ref="A4" authorId="2" shapeId="0" xr:uid="{703C33E7-DAC8-9A43-8101-2FB355D16C4A}">
      <text>
        <t>[Threaded comment]
Your version of Excel allows you to read this threaded comment; however, any edits to it will get removed if the file is opened in a newer version of Excel. Learn more: https://go.microsoft.com/fwlink/?linkid=870924
Comment:
    Số vốn có thể đầu tư còn lại</t>
      </text>
    </comment>
    <comment ref="A5" authorId="3" shapeId="0" xr:uid="{70A09A4D-5059-D949-A5A9-3123828B6656}">
      <text>
        <t>[Threaded comment]
Your version of Excel allows you to read this threaded comment; however, any edits to it will get removed if the file is opened in a newer version of Excel. Learn more: https://go.microsoft.com/fwlink/?linkid=870924
Comment:
    Tổng lãi / lỗ dự kiến (cho các vị thế đang mở hoặc dự định mở)</t>
      </text>
    </comment>
    <comment ref="A6" authorId="4" shapeId="0" xr:uid="{C856ED8E-3943-F54D-97DB-BFEB0AFD33E7}">
      <text>
        <t>[Threaded comment]
Your version of Excel allows you to read this threaded comment; however, any edits to it will get removed if the file is opened in a newer version of Excel. Learn more: https://go.microsoft.com/fwlink/?linkid=870924
Comment:
    Tổng lãi / lỗ thực tế (cho các vị thế đã đóng)</t>
      </text>
    </comment>
    <comment ref="A7" authorId="5" shapeId="0" xr:uid="{2C46071B-62A6-3B48-833B-EDDE305F176C}">
      <text>
        <t>[Threaded comment]
Your version of Excel allows you to read this threaded comment; however, any edits to it will get removed if the file is opened in a newer version of Excel. Learn more: https://go.microsoft.com/fwlink/?linkid=870924
Comment:
    Tổng số lãi / lỗ (cho tất cả vị thế)</t>
      </text>
    </comment>
    <comment ref="A12" authorId="6" shapeId="0" xr:uid="{94EE25AE-A172-3448-B601-077FED2E76A0}">
      <text>
        <t>[Threaded comment]
Your version of Excel allows you to read this threaded comment; however, any edits to it will get removed if the file is opened in a newer version of Excel. Learn more: https://go.microsoft.com/fwlink/?linkid=870924
Comment:
    Số vị thế đang mở hoặc dự định mở</t>
      </text>
    </comment>
    <comment ref="A13" authorId="7" shapeId="0" xr:uid="{AC7D6E46-E029-DC4F-9858-40158EBCA274}">
      <text>
        <t>[Threaded comment]
Your version of Excel allows you to read this threaded comment; however, any edits to it will get removed if the file is opened in a newer version of Excel. Learn more: https://go.microsoft.com/fwlink/?linkid=870924
Comment:
    Tỷ lệ cao nhất của vị thế so với toàn bộ danh mục đang mở hoặc dự định mở</t>
      </text>
    </comment>
    <comment ref="A14" authorId="8" shapeId="0" xr:uid="{7C00E3A1-7840-C54A-86FF-0F3ECB44A034}">
      <text>
        <t>[Threaded comment]
Your version of Excel allows you to read this threaded comment; however, any edits to it will get removed if the file is opened in a newer version of Excel. Learn more: https://go.microsoft.com/fwlink/?linkid=870924
Comment:
    Tỷ lệ phần trăm số lượng vị thế mở đang lỗ trên số lượng vị thế mở đang lãi</t>
      </text>
    </comment>
    <comment ref="A15" authorId="9" shapeId="0" xr:uid="{19307493-BC06-0A47-BA89-D1FCFA795F1E}">
      <text>
        <t>[Threaded comment]
Your version of Excel allows you to read this threaded comment; however, any edits to it will get removed if the file is opened in a newer version of Excel. Learn more: https://go.microsoft.com/fwlink/?linkid=870924
Comment:
    Thời gian giữ vị thế trung bình</t>
      </text>
    </comment>
    <comment ref="A16" authorId="10" shapeId="0" xr:uid="{2337768F-3481-9D41-9012-2FDF032A1626}">
      <text>
        <t>[Threaded comment]
Your version of Excel allows you to read this threaded comment; however, any edits to it will get removed if the file is opened in a newer version of Excel. Learn more: https://go.microsoft.com/fwlink/?linkid=870924
Comment:
    Tổng giá trị của các vị thế mở</t>
      </text>
    </comment>
    <comment ref="A17" authorId="11" shapeId="0" xr:uid="{16C177C2-A6C4-C247-8C5F-0349B8804F44}">
      <text>
        <t>[Threaded comment]
Your version of Excel allows you to read this threaded comment; however, any edits to it will get removed if the file is opened in a newer version of Excel. Learn more: https://go.microsoft.com/fwlink/?linkid=870924
Comment:
    Tổng giá trị của các vị thế đã đóng</t>
      </text>
    </comment>
    <comment ref="A20" authorId="12" shapeId="0" xr:uid="{6273C702-8E18-4C4B-A994-E1A1401B1C62}">
      <text>
        <t>[Threaded comment]
Your version of Excel allows you to read this threaded comment; however, any edits to it will get removed if the file is opened in a newer version of Excel. Learn more: https://go.microsoft.com/fwlink/?linkid=870924
Comment:
    Tỷ lệ đóng vị thế</t>
      </text>
    </comment>
    <comment ref="A21" authorId="13" shapeId="0" xr:uid="{C8F85ACD-42DB-DB4D-B294-8F610E69D1FE}">
      <text>
        <t>[Threaded comment]
Your version of Excel allows you to read this threaded comment; however, any edits to it will get removed if the file is opened in a newer version of Excel. Learn more: https://go.microsoft.com/fwlink/?linkid=870924
Comment:
    Tỷ lệ vị thế có lãi trên tổng số vị thế đã đóng</t>
      </text>
    </comment>
    <comment ref="A22" authorId="14" shapeId="0" xr:uid="{6A4F476C-2153-964C-B144-760130CAFC50}">
      <text>
        <t>[Threaded comment]
Your version of Excel allows you to read this threaded comment; however, any edits to it will get removed if the file is opened in a newer version of Excel. Learn more: https://go.microsoft.com/fwlink/?linkid=870924
Comment:
    Lợi nhuận trung bình
(tổng giá trị vị thế có lãi đã đóng / tổng số vị thế có lãi đã đóng)</t>
      </text>
    </comment>
    <comment ref="A23" authorId="15" shapeId="0" xr:uid="{0942BD29-40A9-6C4E-9031-9166651ED18D}">
      <text>
        <t>[Threaded comment]
Your version of Excel allows you to read this threaded comment; however, any edits to it will get removed if the file is opened in a newer version of Excel. Learn more: https://go.microsoft.com/fwlink/?linkid=870924
Comment:
    Thua lỗ trung bình
(tổng giá trị vị thế thua lỗ đã đóng / tổng số vị thế thua lỗ đã đóng)</t>
      </text>
    </comment>
    <comment ref="A24" authorId="16" shapeId="0" xr:uid="{11301A71-C746-D74C-AA94-7FE66FC9CA42}">
      <text>
        <t>[Threaded comment]
Your version of Excel allows you to read this threaded comment; however, any edits to it will get removed if the file is opened in a newer version of Excel. Learn more: https://go.microsoft.com/fwlink/?linkid=870924
Comment:
    Tỷ số lợi nhuận
(Tổng số lãi / Tổng số lỗ)
Ví dụ: 2 nghĩa là lãi gấp đôi lỗ -&gt; vẫn có lợi nhuận là 1/2 số lãi hiện tại</t>
      </text>
    </comment>
    <comment ref="A25" authorId="17" shapeId="0" xr:uid="{13CA8557-A4B0-A746-BFC7-376025D2CDB5}">
      <text>
        <t>[Threaded comment]
Your version of Excel allows you to read this threaded comment; however, any edits to it will get removed if the file is opened in a newer version of Excel. Learn more: https://go.microsoft.com/fwlink/?linkid=870924
Comment:
    Kỳ vọng lợi nhuận trung bình cho mỗi giao dịch</t>
      </text>
    </comment>
    <comment ref="A26" authorId="18" shapeId="0" xr:uid="{91401F9F-6781-DA42-8F7C-944C6AC0B3B1}">
      <text>
        <t>[Threaded comment]
Your version of Excel allows you to read this threaded comment; however, any edits to it will get removed if the file is opened in a newer version of Excel. Learn more: https://go.microsoft.com/fwlink/?linkid=870924
Comment:
    Tỷ lệ kỳ vọng lợi nhuận (lợi nhuận trung bình kỳ vọng cho mỗi giao dịch)
Tỷ lệ này phù hợp nếu các vị thế có giá trị tương đương nhau. Khi đó %Gain tương đương nhau, kết hợp với Win rate sẽ thể hiện kỳ vọng chính xác.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tc={711C743D-FB40-084C-9E80-B15208166C61}</author>
    <author>tc={494F6C6E-A1E5-4D46-879E-22518141923B}</author>
  </authors>
  <commentList>
    <comment ref="H3" authorId="0" shapeId="0" xr:uid="{711C743D-FB40-084C-9E80-B15208166C61}">
      <text>
        <t>[Threaded comment]
Your version of Excel allows you to read this threaded comment; however, any edits to it will get removed if the file is opened in a newer version of Excel. Learn more: https://go.microsoft.com/fwlink/?linkid=870924
Comment:
    Red if Current price is less than Expected price.
Green if Current price is larger than or equal to Expected price.
(For open positions)</t>
      </text>
    </comment>
    <comment ref="K3" authorId="1" shapeId="0" xr:uid="{494F6C6E-A1E5-4D46-879E-22518141923B}">
      <text>
        <t>[Threaded comment]
Your version of Excel allows you to read this threaded comment; however, any edits to it will get removed if the file is opened in a newer version of Excel. Learn more: https://go.microsoft.com/fwlink/?linkid=870924
Comment:
    Green if there is Close price for Open position and it's over Expected profit rate.
Yellow if there is Close price for Open positions but it's not over Expected profit rate.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051DF5-2A2E-4FFE-99AC-760FEB4CD634}" keepAlive="1" name="Query - prices" description="Connection to the 'prices' query in the workbook." type="5" refreshedVersion="8" background="1" saveData="1">
    <dbPr connection="Provider=Microsoft.Mashup.OleDb.1;Data Source=$Workbook$;Location=prices;Extended Properties=&quot;&quot;" command="SELECT * FROM [prices]"/>
  </connection>
  <connection id="2" xr16:uid="{21BAE8A3-F681-40EC-86EB-6DE842B70722}" keepAlive="1" name="Query - symbols" description="Connection to the 'symbols' query in the workbook." type="5" refreshedVersion="8" background="1" saveData="1">
    <dbPr connection="Provider=Microsoft.Mashup.OleDb.1;Data Source=$Workbook$;Location=symbols;Extended Properties=&quot;&quot;" command="SELECT * FROM [symbol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<sst xmlns="http://schemas.openxmlformats.org/spreadsheetml/2006/main" count="5271" uniqueCount="3506">
  <si>
    <t>Stock Investment Tracking</t>
  </si>
  <si>
    <t>Symbol</t>
  </si>
  <si>
    <t>Company Name</t>
  </si>
  <si>
    <t>Exchange</t>
  </si>
  <si>
    <t>Shares</t>
  </si>
  <si>
    <t>Current Price</t>
  </si>
  <si>
    <t>Unrealized P/L</t>
  </si>
  <si>
    <t>VIC</t>
  </si>
  <si>
    <t>VNM</t>
  </si>
  <si>
    <t>HPG</t>
  </si>
  <si>
    <t>ACB</t>
  </si>
  <si>
    <t>Company</t>
  </si>
  <si>
    <t>YTC</t>
  </si>
  <si>
    <t>Công ty Cổ phần Xuất nhập khẩu Y tế Thành phố Hồ Chí Minh</t>
  </si>
  <si>
    <t>UPCOM</t>
  </si>
  <si>
    <t>YEG</t>
  </si>
  <si>
    <t>Công ty Cổ phần Tập đoàn Yeah1</t>
  </si>
  <si>
    <t>HSX</t>
  </si>
  <si>
    <t>YBM</t>
  </si>
  <si>
    <t>Công ty Cổ phần Khoáng sản Công nghiệp Yên Bái</t>
  </si>
  <si>
    <t>YBC</t>
  </si>
  <si>
    <t>Công ty Cổ phần Xi măng và Khoáng sản Yên Bái</t>
  </si>
  <si>
    <t>XPH</t>
  </si>
  <si>
    <t>Công ty Cổ phần Xà phòng Hà Nội</t>
  </si>
  <si>
    <t>XMP</t>
  </si>
  <si>
    <t>Công ty Cổ phần Thủy điện Xuân Minh</t>
  </si>
  <si>
    <t>XMD</t>
  </si>
  <si>
    <t>Công ty Cổ phần Xuân Mai - Đạo Tú</t>
  </si>
  <si>
    <t>XMC</t>
  </si>
  <si>
    <t>Công ty cổ phần Đầu tư và Xây dựng Xuân Mai</t>
  </si>
  <si>
    <t>XLV</t>
  </si>
  <si>
    <t>Công ty Cổ phần Xây lắp và Dịch vụ Sông Đà</t>
  </si>
  <si>
    <t>XHC</t>
  </si>
  <si>
    <t>Công ty Cổ phần Xuân Hòa Việt Nam</t>
  </si>
  <si>
    <t>XDH</t>
  </si>
  <si>
    <t>Công ty Cổ phần Đầu tư Xây dựng Dân dụng Hà Nội</t>
  </si>
  <si>
    <t>XDC</t>
  </si>
  <si>
    <t>Công ty Cổ phần Xây dựng Công trình Tân Cảng</t>
  </si>
  <si>
    <t>DELISTED</t>
  </si>
  <si>
    <t>X77</t>
  </si>
  <si>
    <t>Công ty Cổ phần Thành An 77</t>
  </si>
  <si>
    <t>X26</t>
  </si>
  <si>
    <t>Công ty Cổ phần 26</t>
  </si>
  <si>
    <t>X20</t>
  </si>
  <si>
    <t>Công ty Cổ phần X20</t>
  </si>
  <si>
    <t>HNX</t>
  </si>
  <si>
    <t>WTC</t>
  </si>
  <si>
    <t>Công ty Cổ phần Vận tải thủy - Vinacomin</t>
  </si>
  <si>
    <t>WSS</t>
  </si>
  <si>
    <t>Công ty Cổ phần Chứng khoán Phố Wall</t>
  </si>
  <si>
    <t>WSB</t>
  </si>
  <si>
    <t>Công ty Cổ phần Bia Sài Gòn - Miền Tây</t>
  </si>
  <si>
    <t>WCS</t>
  </si>
  <si>
    <t>Công ty Cổ phần Bến xe Miền Tây</t>
  </si>
  <si>
    <t>VXT</t>
  </si>
  <si>
    <t>Công ty Cổ phần Kho vận và dịch vụ thương mại</t>
  </si>
  <si>
    <t>VXP</t>
  </si>
  <si>
    <t>Công ty Cổ phần Thuốc Thú y Trung ương VETVACO</t>
  </si>
  <si>
    <t>VXB</t>
  </si>
  <si>
    <t>Công ty Cổ phần Vật liệu xây dựng Bến Tre</t>
  </si>
  <si>
    <t>VWS</t>
  </si>
  <si>
    <t>Công ty Cổ phần Nước và Môi trường Việt Nam</t>
  </si>
  <si>
    <t>VW3</t>
  </si>
  <si>
    <t>Công ty Cổ phần VIWASEEN3</t>
  </si>
  <si>
    <t>VVS</t>
  </si>
  <si>
    <t>Công ty Cổ phần Đầu tư Phát triển Máy Việt Nam</t>
  </si>
  <si>
    <t>VVN</t>
  </si>
  <si>
    <t>Tổng Công ty Cổ phần Xây dựng Công nghiệp Việt Nam</t>
  </si>
  <si>
    <t>VUA</t>
  </si>
  <si>
    <t>Công ty Cổ phần Chứng khoán Stanley Brothers</t>
  </si>
  <si>
    <t>VTZ</t>
  </si>
  <si>
    <t>Công ty Cổ phần Sản xuất và Thương mại Nhựa Việt Thành</t>
  </si>
  <si>
    <t>VTX</t>
  </si>
  <si>
    <t>Công ty Cổ phần Vận tải Đa phương thức VIETRANSTIMEX</t>
  </si>
  <si>
    <t>VTV</t>
  </si>
  <si>
    <t>Công ty Cổ phần Năng lượng và Môi trường VICEM</t>
  </si>
  <si>
    <t>VTS</t>
  </si>
  <si>
    <t>Công ty Cổ phần Gạch Ngói Từ Sơn</t>
  </si>
  <si>
    <t>VTR</t>
  </si>
  <si>
    <t>Công ty Cổ phần Du lịch Vietravel</t>
  </si>
  <si>
    <t>VTQ</t>
  </si>
  <si>
    <t>Công ty Cổ phần Việt Trung Quảng Bình</t>
  </si>
  <si>
    <t>VTP</t>
  </si>
  <si>
    <t>Tổng Công ty Cổ phần Bưu chính Viettel</t>
  </si>
  <si>
    <t>VTO</t>
  </si>
  <si>
    <t>Công ty Cổ phần Vận tải Xăng dầu VITACO</t>
  </si>
  <si>
    <t>VTM</t>
  </si>
  <si>
    <t>Công ty Cổ phần Vận tải và Đưa đón thợ mỏ - Vinacomin</t>
  </si>
  <si>
    <t>VTL</t>
  </si>
  <si>
    <t>Công ty Cổ phần Vang Thăng Long</t>
  </si>
  <si>
    <t>VTK</t>
  </si>
  <si>
    <t>Công ty Cổ phần Tư vấn và Dịch vụ Viettel</t>
  </si>
  <si>
    <t>VTJ</t>
  </si>
  <si>
    <t>Công ty Cổ phần Thương mại và Đầu tư VI NA TA BA</t>
  </si>
  <si>
    <t>VTI</t>
  </si>
  <si>
    <t>Công ty Cổ phần Sản xuất - Xuất nhập khẩu Dệt may</t>
  </si>
  <si>
    <t>VTH</t>
  </si>
  <si>
    <t>Công ty Cổ phần Dây cáp điện Việt Thái</t>
  </si>
  <si>
    <t>VTG</t>
  </si>
  <si>
    <t>Công ty Cổ phần Du lịch tỉnh Bà Rịa - Vũng Tàu</t>
  </si>
  <si>
    <t>VTE</t>
  </si>
  <si>
    <t>Công ty Cổ phần VINACAP Kim Long</t>
  </si>
  <si>
    <t>VTD</t>
  </si>
  <si>
    <t>Công ty Cổ phần Vietourist Holdings</t>
  </si>
  <si>
    <t>VTC</t>
  </si>
  <si>
    <t>Công ty Cổ phần Viễn Thông VTC</t>
  </si>
  <si>
    <t>VTB</t>
  </si>
  <si>
    <t>Công ty Cổ phần Viettronics Tân Bình</t>
  </si>
  <si>
    <t>VTA</t>
  </si>
  <si>
    <t>Công ty Cổ phần VITALY</t>
  </si>
  <si>
    <t>VST</t>
  </si>
  <si>
    <t>Công ty Cổ phần Vận tải và Thuê Tàu biển Việt Nam</t>
  </si>
  <si>
    <t>VSP</t>
  </si>
  <si>
    <t>Công ty Cổ phần Vận tải biển và Bất động sản Việt Hải</t>
  </si>
  <si>
    <t>VSN</t>
  </si>
  <si>
    <t>Công ty Cổ phần Việt Nam Kỹ Nghệ Súc Sản</t>
  </si>
  <si>
    <t>VSM</t>
  </si>
  <si>
    <t>Công ty Cổ phần Container Miền Trung</t>
  </si>
  <si>
    <t>VSI</t>
  </si>
  <si>
    <t>Công ty Cổ phần Đầu tư và Xây dựng Cấp thoát nước</t>
  </si>
  <si>
    <t>VSH</t>
  </si>
  <si>
    <t>Công ty Cổ phần Thủy điện Vĩnh Sơn - Sông Hinh</t>
  </si>
  <si>
    <t>VSG</t>
  </si>
  <si>
    <t>Công ty Cổ phần Container Phía Nam</t>
  </si>
  <si>
    <t>VSF</t>
  </si>
  <si>
    <t>Tổng Công ty Lương thực Miền Nam - Công ty Cổ phần</t>
  </si>
  <si>
    <t>VSE</t>
  </si>
  <si>
    <t>Công ty Cổ phần Dịch vụ Đường cao tốc Việt Nam</t>
  </si>
  <si>
    <t>VSC</t>
  </si>
  <si>
    <t>Công ty Cổ phần Container Việt Nam</t>
  </si>
  <si>
    <t>VSA</t>
  </si>
  <si>
    <t>Công ty Cổ phần Đại lý Hàng hải Việt Nam</t>
  </si>
  <si>
    <t>VRG</t>
  </si>
  <si>
    <t>Công ty Cổ phần Phát triển Đô thị và Khu Công nghiệp Cao Su Việt Nam</t>
  </si>
  <si>
    <t>VRE</t>
  </si>
  <si>
    <t>Công ty Cổ phần Vincom Retail</t>
  </si>
  <si>
    <t>VRC</t>
  </si>
  <si>
    <t>Công ty Cổ phần Bất động sản và Đầu tư VRC</t>
  </si>
  <si>
    <t>VQC</t>
  </si>
  <si>
    <t>Công ty Cổ phần Giám định Vinaconmin</t>
  </si>
  <si>
    <t>VPX</t>
  </si>
  <si>
    <t>Công ty Cổ phần Chứng khoán VPBank</t>
  </si>
  <si>
    <t>VPW</t>
  </si>
  <si>
    <t>Công ty Cổ phần Cấp thoát nước số 1 Vĩnh Phúc</t>
  </si>
  <si>
    <t>VPS</t>
  </si>
  <si>
    <t>Công ty Cổ phần Thuốc sát trùng Việt Nam</t>
  </si>
  <si>
    <t>VPR</t>
  </si>
  <si>
    <t>Công ty Cổ phần VINAPRINT</t>
  </si>
  <si>
    <t>VPL</t>
  </si>
  <si>
    <t>Công ty Cổ phần Vinpearl</t>
  </si>
  <si>
    <t>VPI</t>
  </si>
  <si>
    <t>Công ty Cổ phần Phát triển Bất động sản Văn Phú</t>
  </si>
  <si>
    <t>VPH</t>
  </si>
  <si>
    <t>Công ty Cổ phần Vạn Phát Hưng</t>
  </si>
  <si>
    <t>VPG</t>
  </si>
  <si>
    <t>Công ty Cổ phần Đầu tư Thương mại Xuất nhập khẩu Việt Phát</t>
  </si>
  <si>
    <t>VPD</t>
  </si>
  <si>
    <t>Công ty Cổ phần Phát triển Điện lực Việt Nam</t>
  </si>
  <si>
    <t>VPC</t>
  </si>
  <si>
    <t>Công ty Cổ phần Đầu tư và Phát triển Năng lượng Việt Nam</t>
  </si>
  <si>
    <t>VPB</t>
  </si>
  <si>
    <t>Ngân hàng Thương mại Cổ phần Việt Nam Thịnh Vượng</t>
  </si>
  <si>
    <t>VPA</t>
  </si>
  <si>
    <t>Công ty Cổ phần Vận tải Hóa dầu VP</t>
  </si>
  <si>
    <t>VOS</t>
  </si>
  <si>
    <t>Công ty Cổ phần Vận tải Biển Việt Nam</t>
  </si>
  <si>
    <t>VOC</t>
  </si>
  <si>
    <t>Tổng Công ty Công nghiệp Dầu thực vật Việt Nam - Công ty Cổ phần</t>
  </si>
  <si>
    <t>VNZ</t>
  </si>
  <si>
    <t>Công ty Cổ phần Tập đoàn VNG</t>
  </si>
  <si>
    <t>VNY</t>
  </si>
  <si>
    <t>Công ty Cổ phần Thuốc thú y Trung ương I</t>
  </si>
  <si>
    <t>VNX</t>
  </si>
  <si>
    <t>Công ty Cổ phần Quảng cáo và Hội chợ Thương mại Vinexad</t>
  </si>
  <si>
    <t>VNT</t>
  </si>
  <si>
    <t>Công ty Cổ phần Giao nhận Vận tải Ngoại Thương</t>
  </si>
  <si>
    <t>VNS</t>
  </si>
  <si>
    <t>Công ty Cổ phần Ánh Dương Việt Nam</t>
  </si>
  <si>
    <t>VNR</t>
  </si>
  <si>
    <t>Tổng Công ty Cổ phần Tái bảo hiểm Quốc gia Việt Nam</t>
  </si>
  <si>
    <t>VNP</t>
  </si>
  <si>
    <t>Công ty Cổ phần Nhựa Việt Nam</t>
  </si>
  <si>
    <t>Công ty Cổ phần Sữa Việt Nam</t>
  </si>
  <si>
    <t>VNL</t>
  </si>
  <si>
    <t>Công ty Cổ phần Logistics Vinalink</t>
  </si>
  <si>
    <t>VNI</t>
  </si>
  <si>
    <t>Công ty Cổ phần Đầu tư Bất động sản Việt Nam</t>
  </si>
  <si>
    <t>VNH</t>
  </si>
  <si>
    <t>Công ty Cổ phần Đầu tư Việt Việt Nhật</t>
  </si>
  <si>
    <t>VNG</t>
  </si>
  <si>
    <t>Công ty Cổ phần Du Lịch Thành Thành Công</t>
  </si>
  <si>
    <t>VNF</t>
  </si>
  <si>
    <t>Công ty Cổ phần Vinafreight</t>
  </si>
  <si>
    <t>VNE</t>
  </si>
  <si>
    <t>Tổng Công ty Cổ phần Xây dựng điện Việt Nam</t>
  </si>
  <si>
    <t>VND</t>
  </si>
  <si>
    <t>Công ty Cổ phần Chứng khoán VNDIRECT</t>
  </si>
  <si>
    <t>VNC</t>
  </si>
  <si>
    <t>Công ty Cổ phần Tập đoàn Vinacontrol</t>
  </si>
  <si>
    <t>VNB</t>
  </si>
  <si>
    <t>Công ty Cổ phần Sách Việt Nam</t>
  </si>
  <si>
    <t>VNA</t>
  </si>
  <si>
    <t>Công ty Cổ phần Vận tải biển Vinaship</t>
  </si>
  <si>
    <t>VMT</t>
  </si>
  <si>
    <t>Công ty Cổ phần Giao nhận Vận tải Miền Trung</t>
  </si>
  <si>
    <t>VMS</t>
  </si>
  <si>
    <t>Công ty Cổ phần Phát triển Hàng Hải</t>
  </si>
  <si>
    <t>VMK</t>
  </si>
  <si>
    <t>Công ty Cổ phần Vimarko</t>
  </si>
  <si>
    <t>VMI</t>
  </si>
  <si>
    <t>Công ty Cổ phần Khoáng sản và Đầu tư VISACO</t>
  </si>
  <si>
    <t>VMG</t>
  </si>
  <si>
    <t>Công ty Cổ phần Thương mại và Dịch vụ Dầu khí Vũng Tàu</t>
  </si>
  <si>
    <t>VMD</t>
  </si>
  <si>
    <t>Công ty Cổ phần Y Dược phẩm Vimedimex</t>
  </si>
  <si>
    <t>VMC</t>
  </si>
  <si>
    <t>Công ty Cổ phần VIMECO</t>
  </si>
  <si>
    <t>VMA</t>
  </si>
  <si>
    <t>Công ty Cổ phần Công nghiệp Ô tô - Vinacomin</t>
  </si>
  <si>
    <t>VLW</t>
  </si>
  <si>
    <t>Công ty Cổ phần Cấp nước Vĩnh Long</t>
  </si>
  <si>
    <t>VLS</t>
  </si>
  <si>
    <t>Công ty Cổ phần Sản xuất Thép Việt Long</t>
  </si>
  <si>
    <t>VLP</t>
  </si>
  <si>
    <t>Công ty Cổ phần Công trình Công cộng Vĩnh Long</t>
  </si>
  <si>
    <t>VLG</t>
  </si>
  <si>
    <t>Công ty Cổ phần VIMC Logistics</t>
  </si>
  <si>
    <t>VLF</t>
  </si>
  <si>
    <t>Công ty Cổ phần Lương thực Thực phẩm Vĩnh Long</t>
  </si>
  <si>
    <t>VLC</t>
  </si>
  <si>
    <t>Tổng Công ty Chăn nuôi Việt Nam - Công ty Cổ phần</t>
  </si>
  <si>
    <t>VLB</t>
  </si>
  <si>
    <t>Công ty Cổ phần Xây dựng và Sản xuất Vật liệu Xây dựng Biên Hòa</t>
  </si>
  <si>
    <t>VLA</t>
  </si>
  <si>
    <t>Công ty Cổ phần Đầu tư và Phát triển Công nghệ Văn Lang</t>
  </si>
  <si>
    <t>VKP</t>
  </si>
  <si>
    <t>Công ty Cổ phần Nhựa Tân Hóa</t>
  </si>
  <si>
    <t>VKD</t>
  </si>
  <si>
    <t>Công ty Cổ phần Nước khoáng Khánh Hòa</t>
  </si>
  <si>
    <t>VKC</t>
  </si>
  <si>
    <t>Công ty Cổ phần VKC Holdings</t>
  </si>
  <si>
    <t>VJC</t>
  </si>
  <si>
    <t>Công ty Cổ phần Hàng không Vietjet</t>
  </si>
  <si>
    <t>VIX</t>
  </si>
  <si>
    <t>Công ty Cổ phần Chứng khoán VIX</t>
  </si>
  <si>
    <t>VIW</t>
  </si>
  <si>
    <t>Tổng công ty Đầu tư Nước và Môi trường Việt Nam - Công ty Cổ phần</t>
  </si>
  <si>
    <t>VIT</t>
  </si>
  <si>
    <t>Công ty Cổ phần Viglacera Tiên Sơn</t>
  </si>
  <si>
    <t>VIS</t>
  </si>
  <si>
    <t>Công ty Cổ phần Thép Việt Ý</t>
  </si>
  <si>
    <t>VIR</t>
  </si>
  <si>
    <t>Công ty Cổ phần Du lịch Quốc tế Vũng Tàu</t>
  </si>
  <si>
    <t>VIP</t>
  </si>
  <si>
    <t>Công ty Cổ phần Vận tải Xăng dầu VIPCO</t>
  </si>
  <si>
    <t>VIN</t>
  </si>
  <si>
    <t>Công ty Cổ phần Giao nhận Kho vận Ngoại thương Việt Nam</t>
  </si>
  <si>
    <t>VIM</t>
  </si>
  <si>
    <t>Công ty Cổ phần Khoáng sản Viglacera</t>
  </si>
  <si>
    <t>VIH</t>
  </si>
  <si>
    <t>Công ty Cổ phần Viglacera Hà Nội</t>
  </si>
  <si>
    <t>VIG</t>
  </si>
  <si>
    <t>Công ty Cổ phần Chứng khoán Đầu tư Tài chính Việt Nam</t>
  </si>
  <si>
    <t>VIF</t>
  </si>
  <si>
    <t>Tổng Công ty Lâm nghiệp Việt Nam - Công ty Cổ phần</t>
  </si>
  <si>
    <t>VIE</t>
  </si>
  <si>
    <t>Công ty Cổ phần Công nghệ Viễn thông VI TE CO</t>
  </si>
  <si>
    <t>VID</t>
  </si>
  <si>
    <t>Công ty Cổ phần Đầu tư Phát triển Thương mại Viễn Đông</t>
  </si>
  <si>
    <t>Tập đoàn Vingroup - Công ty CP</t>
  </si>
  <si>
    <t>VIB</t>
  </si>
  <si>
    <t>Ngân hàng Thương mại Cổ phần Quốc tế Việt Nam</t>
  </si>
  <si>
    <t>VHM</t>
  </si>
  <si>
    <t>Công ty Cổ phần Vinhomes</t>
  </si>
  <si>
    <t>VHL</t>
  </si>
  <si>
    <t>Công ty Cổ phần Viglacera Hạ Long</t>
  </si>
  <si>
    <t>VHI</t>
  </si>
  <si>
    <t>VHH</t>
  </si>
  <si>
    <t>Công ty Cổ phần Đầu tư Kinh doanh nhà Thành Đạt</t>
  </si>
  <si>
    <t>VHG</t>
  </si>
  <si>
    <t>Công ty Cổ phần Đầu tư và Phát triển Việt Trung Nam</t>
  </si>
  <si>
    <t>VHF</t>
  </si>
  <si>
    <t>Công ty Cổ phần Xây dựng và Chế biến lương thực Vĩnh Hà</t>
  </si>
  <si>
    <t>VHE</t>
  </si>
  <si>
    <t>Công ty Cổ phần Dược liệu và Thực phẩm Việt Nam</t>
  </si>
  <si>
    <t>VHD</t>
  </si>
  <si>
    <t>Công ty Cổ phần Đầu tư phát triển nhà và đô thị VINAHUD</t>
  </si>
  <si>
    <t>VHC</t>
  </si>
  <si>
    <t>Công ty Cổ phần Vĩnh Hoàn</t>
  </si>
  <si>
    <t>VGV</t>
  </si>
  <si>
    <t>Tổng Công ty Tư vấn Xây dựng Việt Nam - CTCP</t>
  </si>
  <si>
    <t>VGT</t>
  </si>
  <si>
    <t>Tập đoàn Dệt May Việt Nam</t>
  </si>
  <si>
    <t>VGS</t>
  </si>
  <si>
    <t>Công ty Cổ phần Ống thép Việt - Đức VG PIPE</t>
  </si>
  <si>
    <t>VGR</t>
  </si>
  <si>
    <t>Công ty Cổ phần Cảng xanh VIP</t>
  </si>
  <si>
    <t>VGP</t>
  </si>
  <si>
    <t>Công ty Cổ phần Cảng Rau Quả</t>
  </si>
  <si>
    <t>VGL</t>
  </si>
  <si>
    <t>Công ty Cổ phần Mạ kẽm công nghiệp Vingal-Vnsteel</t>
  </si>
  <si>
    <t>VGI</t>
  </si>
  <si>
    <t>Tổng Công ty Cổ phần Đầu tư Quốc tế Viettel</t>
  </si>
  <si>
    <t>VGG</t>
  </si>
  <si>
    <t>Tổng Công Ty Cổ phần May Việt Tiến</t>
  </si>
  <si>
    <t>VGC</t>
  </si>
  <si>
    <t>Tổng Công ty Viglacera - Công ty Cổ phần</t>
  </si>
  <si>
    <t>VFS</t>
  </si>
  <si>
    <t>Công ty Cổ phần Chứng khoán Nhất Việt</t>
  </si>
  <si>
    <t>VFR</t>
  </si>
  <si>
    <t>Công ty Cổ phần Vận tải và Thuê tàu</t>
  </si>
  <si>
    <t>VFG</t>
  </si>
  <si>
    <t>Công ty Cổ phần Khử trùng Việt Nam</t>
  </si>
  <si>
    <t>VFC</t>
  </si>
  <si>
    <t>Công ty Cổ phần VINAFCO</t>
  </si>
  <si>
    <t>VET</t>
  </si>
  <si>
    <t>Công ty Cổ phần Thuốc Thú y Trung ương NAVETCO</t>
  </si>
  <si>
    <t>VES</t>
  </si>
  <si>
    <t>Công ty Cổ phần Đầu tư và Xây dựng Điện MÊ CA VNECO</t>
  </si>
  <si>
    <t>VEF</t>
  </si>
  <si>
    <t>Công ty Cổ phần Trung tâm Hội chợ Triển lãm Việt Nam</t>
  </si>
  <si>
    <t>VEC</t>
  </si>
  <si>
    <t>Tổng Công ty Cổ phần Điện tử và Tin học Việt Nam</t>
  </si>
  <si>
    <t>VEA</t>
  </si>
  <si>
    <t>Tổng Công ty Máy động lực và Máy nông nghiệp Việt Nam - CTCP</t>
  </si>
  <si>
    <t>VE9</t>
  </si>
  <si>
    <t>Công ty Cổ phần Đầu tư và Xây dựng VNECO 9</t>
  </si>
  <si>
    <t>VE8</t>
  </si>
  <si>
    <t>Công ty Cổ phần Xây dựng Điện Vneco 8</t>
  </si>
  <si>
    <t>VE4</t>
  </si>
  <si>
    <t>Công ty Cổ phần Xây dựng điện VNECO4</t>
  </si>
  <si>
    <t>VE3</t>
  </si>
  <si>
    <t>Công ty Cổ phần Xây dựng điện VNECO 3</t>
  </si>
  <si>
    <t>VE2</t>
  </si>
  <si>
    <t>Công ty Cổ phần Xây dựng Điện VNECO 2</t>
  </si>
  <si>
    <t>VE1</t>
  </si>
  <si>
    <t>Công ty Cổ phần Xây dựng điện VNECO 1</t>
  </si>
  <si>
    <t>VDT</t>
  </si>
  <si>
    <t>Công ty Cổ phần Lưới thép Bình Tây</t>
  </si>
  <si>
    <t>VDS</t>
  </si>
  <si>
    <t>Công ty Cổ phần Chứng khoán Rồng Việt</t>
  </si>
  <si>
    <t>VDP</t>
  </si>
  <si>
    <t>Công ty Cổ phần Dược phẩm Trung ương VIDIPHA</t>
  </si>
  <si>
    <t>VDN</t>
  </si>
  <si>
    <t>Công ty Cổ phần Vinatex Đà Nẵng</t>
  </si>
  <si>
    <t>VDM</t>
  </si>
  <si>
    <t>Công ty Cổ phần - Viện Nghiên cứu Dệt may</t>
  </si>
  <si>
    <t>VDL</t>
  </si>
  <si>
    <t>Công ty Cổ phần Thực phẩm Lâm Đồng</t>
  </si>
  <si>
    <t>VDG</t>
  </si>
  <si>
    <t>Công ty Cổ phần Vạn Đạt Group</t>
  </si>
  <si>
    <t>VDB</t>
  </si>
  <si>
    <t>Công ty Cổ phần Vận tải và Chế biến Than Đông Bắc</t>
  </si>
  <si>
    <t>VCX</t>
  </si>
  <si>
    <t>Công ty Cổ phần Xi măng Yên Bình</t>
  </si>
  <si>
    <t>VCW</t>
  </si>
  <si>
    <t>Công ty Cổ phần Đầu tư Nước sạch Sông Đà</t>
  </si>
  <si>
    <t>VCT</t>
  </si>
  <si>
    <t>Công ty Cổ phần Tư vấn Xây dựng Vinaconex</t>
  </si>
  <si>
    <t>VCS</t>
  </si>
  <si>
    <t>Công ty Cổ phần VICOSTONE</t>
  </si>
  <si>
    <t>VCR</t>
  </si>
  <si>
    <t>Công ty Cổ phần Đầu tư và Phát triển Du lịch Vinaconex</t>
  </si>
  <si>
    <t>VCP</t>
  </si>
  <si>
    <t>Công ty Cổ phần Xây dựng và Năng lượng VCP</t>
  </si>
  <si>
    <t>VCM</t>
  </si>
  <si>
    <t>Công ty Cổ phần BV Life</t>
  </si>
  <si>
    <t>VCK</t>
  </si>
  <si>
    <t>Công ty Cổ phần Chứng Khoán VPS</t>
  </si>
  <si>
    <t>VCI</t>
  </si>
  <si>
    <t>Công ty Cổ phần Chứng khoán Vietcap</t>
  </si>
  <si>
    <t>VCG</t>
  </si>
  <si>
    <t>Tổng Công ty Cổ phần Xuất nhập khẩu và Xây dựng Việt Nam</t>
  </si>
  <si>
    <t>VCF</t>
  </si>
  <si>
    <t>Công ty Cổ phần VinaCafé Biên Hòa</t>
  </si>
  <si>
    <t>VCE</t>
  </si>
  <si>
    <t>Công ty Cổ phần Xây lắp Môi trường</t>
  </si>
  <si>
    <t>VCC</t>
  </si>
  <si>
    <t>Công ty Cổ phần Vinaconex 25</t>
  </si>
  <si>
    <t>VCB</t>
  </si>
  <si>
    <t>Ngân hàng Thương mại Cổ phần Ngoại thương Việt Nam</t>
  </si>
  <si>
    <t>VCA</t>
  </si>
  <si>
    <t>Công ty Cổ phần Thép VICASA - VNSTEEL</t>
  </si>
  <si>
    <t>VC9</t>
  </si>
  <si>
    <t>Công ty Cổ phần Xây dựng số 9 - VC9</t>
  </si>
  <si>
    <t>VC7</t>
  </si>
  <si>
    <t>Công ty Cổ phần Tập đoàn BGI</t>
  </si>
  <si>
    <t>VC6</t>
  </si>
  <si>
    <t>Công ty cổ phần Xây dựng và Đầu tư Visicons</t>
  </si>
  <si>
    <t>VC5</t>
  </si>
  <si>
    <t>Công ty Cổ phần Xây dựng Số 5</t>
  </si>
  <si>
    <t>VC3</t>
  </si>
  <si>
    <t>Công ty Cổ phần Tập đoàn Nam Mê Kông</t>
  </si>
  <si>
    <t>VC2</t>
  </si>
  <si>
    <t>Công ty Cổ phần Đầu tư và Xây dựng VINA2</t>
  </si>
  <si>
    <t>VC1</t>
  </si>
  <si>
    <t>Công ty Cổ phần Xây dựng số 1</t>
  </si>
  <si>
    <t>VBH</t>
  </si>
  <si>
    <t>Công ty Cổ phần Điện tử Bình Hòa</t>
  </si>
  <si>
    <t>VBG</t>
  </si>
  <si>
    <t>Công ty Cổ phần Địa chất Việt Bắc - TKV</t>
  </si>
  <si>
    <t>VBC</t>
  </si>
  <si>
    <t>Công ty Cổ phần Nhựa, Bao bì Vinh</t>
  </si>
  <si>
    <t>VBB</t>
  </si>
  <si>
    <t>Ngân hàng Thương mại Cổ phần Việt Nam Thương Tín</t>
  </si>
  <si>
    <t>VAV</t>
  </si>
  <si>
    <t>Công ty Cổ phần VIWACO</t>
  </si>
  <si>
    <t>VAT</t>
  </si>
  <si>
    <t>Công ty Cổ phần VT Vạn Xuân</t>
  </si>
  <si>
    <t>VAF</t>
  </si>
  <si>
    <t>Công ty Cổ phần Phân lân nung chảy Văn Điển</t>
  </si>
  <si>
    <t>VAB</t>
  </si>
  <si>
    <t>Ngân hàng Thương mại Cổ phần Việt Á</t>
  </si>
  <si>
    <t>V21</t>
  </si>
  <si>
    <t>Công ty Cổ phần Vinaconex 21</t>
  </si>
  <si>
    <t>V15</t>
  </si>
  <si>
    <t>Công ty Cổ phần Xây dựng số 15</t>
  </si>
  <si>
    <t>V12</t>
  </si>
  <si>
    <t>Công ty Cổ phần Xây dựng số 12</t>
  </si>
  <si>
    <t>V11</t>
  </si>
  <si>
    <t>Công ty Cổ phần Xây dựng số 11</t>
  </si>
  <si>
    <t>UXC</t>
  </si>
  <si>
    <t>Công ty Cổ phần Chế biến Thủy sản Út Xi</t>
  </si>
  <si>
    <t>UTT</t>
  </si>
  <si>
    <t>Công ty Cổ phần Môi trường Đô thị Thanh Trì</t>
  </si>
  <si>
    <t>USD</t>
  </si>
  <si>
    <t>Công ty Cổ phần Công trình Đô thị Sóc Trăng</t>
  </si>
  <si>
    <t>USC</t>
  </si>
  <si>
    <t>Công ty Cổ phần Khảo sát và Xây dựng - USCO</t>
  </si>
  <si>
    <t>UPH</t>
  </si>
  <si>
    <t>Công ty Cổ phần Dược phẩm TW25</t>
  </si>
  <si>
    <t>UPC</t>
  </si>
  <si>
    <t>Công ty Cổ phần Phát triển Công viên Cây xanh và Đô thị Vũng Tàu</t>
  </si>
  <si>
    <t>UNI</t>
  </si>
  <si>
    <t>Công ty Cổ phần Đầu tư và Phát triển Sao Mai Việt</t>
  </si>
  <si>
    <t>UMC</t>
  </si>
  <si>
    <t>Công ty Cổ phần Công trình đô thị Nam Định</t>
  </si>
  <si>
    <t>UIC</t>
  </si>
  <si>
    <t>Công ty Cổ phần Đầu tư Phát triển Nhà và Đô thị IDICO</t>
  </si>
  <si>
    <t>UEM</t>
  </si>
  <si>
    <t>Công ty Cổ phần Cơ điện Uông Bí - Vinacomin</t>
  </si>
  <si>
    <t>UDL</t>
  </si>
  <si>
    <t>Công ty Cổ phần Đô thị và Môi trường Đắk Lắk</t>
  </si>
  <si>
    <t>UDJ</t>
  </si>
  <si>
    <t>Công ty Cổ phần Phát triển Đô thị</t>
  </si>
  <si>
    <t>UDC</t>
  </si>
  <si>
    <t>Công ty Cổ phần Đầu tư Xây dựng UDCons</t>
  </si>
  <si>
    <t>UCT</t>
  </si>
  <si>
    <t>Công ty Cổ phần Đô thị Cần Thơ</t>
  </si>
  <si>
    <t>TYA</t>
  </si>
  <si>
    <t>Công ty Cổ phần Dây và Cáp điện Taya Việt Nam</t>
  </si>
  <si>
    <t>TXM</t>
  </si>
  <si>
    <t>Công ty Cổ phần VICEM Thạch cao Xi Măng</t>
  </si>
  <si>
    <t>TW3</t>
  </si>
  <si>
    <t>Công ty Cổ phần Dược Trung Ương 3</t>
  </si>
  <si>
    <t>TVW</t>
  </si>
  <si>
    <t>Công ty Cổ phần Cấp thoát nước Trà Vinh</t>
  </si>
  <si>
    <t>TVT</t>
  </si>
  <si>
    <t>Tổng Công ty Việt Thắng - CTCP</t>
  </si>
  <si>
    <t>TVS</t>
  </si>
  <si>
    <t>Công ty Cổ phần Chứng khoán Thiên Việt</t>
  </si>
  <si>
    <t>TVP</t>
  </si>
  <si>
    <t>Công ty Cổ phần Dược phẩm TV.Pharm</t>
  </si>
  <si>
    <t>TVN</t>
  </si>
  <si>
    <t>Tổng Công ty Thép Việt Nam - Công ty Cổ phần</t>
  </si>
  <si>
    <t>TVM</t>
  </si>
  <si>
    <t>Công ty Cổ phần Tư vấn đầu tư Mỏ và công nghiệp - Vinacomin</t>
  </si>
  <si>
    <t>TVH</t>
  </si>
  <si>
    <t>Công ty Cổ phần Tư vấn Xây dựng công trình Hàng hải</t>
  </si>
  <si>
    <t>TVG</t>
  </si>
  <si>
    <t>Công ty Cổ phần Tư vấn Đầu tư và Xây dựng Giao thông Vận tải</t>
  </si>
  <si>
    <t>TVD</t>
  </si>
  <si>
    <t>Công ty Cổ phần Than Vàng Danh - Vinacomin</t>
  </si>
  <si>
    <t>TVC</t>
  </si>
  <si>
    <t>Công ty Cổ phần Tập đoàn Quản lý tài sản T-Corp</t>
  </si>
  <si>
    <t>TVB</t>
  </si>
  <si>
    <t>Công ty Cổ phần Chứng khoán T-Cap</t>
  </si>
  <si>
    <t>TVA</t>
  </si>
  <si>
    <t>Công ty cổ phần Sứ Viglacera Thanh Trì</t>
  </si>
  <si>
    <t>TV6</t>
  </si>
  <si>
    <t>Công ty Cổ phần Tập đoàn EMA LAND</t>
  </si>
  <si>
    <t>TV4</t>
  </si>
  <si>
    <t>Công ty Cổ phần Tư vấn Xây dựng Điện 4</t>
  </si>
  <si>
    <t>TV3</t>
  </si>
  <si>
    <t>Công ty Cổ phần Tư vấn Xây dựng Điện 3</t>
  </si>
  <si>
    <t>TV2</t>
  </si>
  <si>
    <t>Công ty Cổ phần Tư vấn Xây dựng Điện 2</t>
  </si>
  <si>
    <t>TV1</t>
  </si>
  <si>
    <t>Công ty Cổ phần Tư vấn Xây dựng Điện 1</t>
  </si>
  <si>
    <t>TUG</t>
  </si>
  <si>
    <t>Công ty Cổ phần Lai dắt và Vận tải Cảng Hải Phòng</t>
  </si>
  <si>
    <t>TTZ</t>
  </si>
  <si>
    <t>Công ty Cổ phần Đầu tư Xây dựng và Công nghệ Tiến Trung</t>
  </si>
  <si>
    <t>TTT</t>
  </si>
  <si>
    <t>Công ty Cổ phần Du Lịch - Thương Mại Tây Ninh</t>
  </si>
  <si>
    <t>TTS</t>
  </si>
  <si>
    <t>Công ty Cổ phần Cán thép Thái Trung</t>
  </si>
  <si>
    <t>TTP</t>
  </si>
  <si>
    <t>Công ty Cổ phần Bao bì Tân Tiến</t>
  </si>
  <si>
    <t>TTN</t>
  </si>
  <si>
    <t>Công ty Cổ phần Công nghệ &amp; Truyền thông Việt Nam</t>
  </si>
  <si>
    <t>TTL</t>
  </si>
  <si>
    <t>Tổng Công ty Thăng Long - Công ty Cổ phần</t>
  </si>
  <si>
    <t>TTH</t>
  </si>
  <si>
    <t>Công ty Cổ phần Thương mại và Dịch vụ Tiến Thành</t>
  </si>
  <si>
    <t>TTG</t>
  </si>
  <si>
    <t>Công ty Cổ phần May Thanh Trì</t>
  </si>
  <si>
    <t>TTF</t>
  </si>
  <si>
    <t>Công ty Cổ phần Tập đoàn Kỹ nghệ Gỗ Trường Thành</t>
  </si>
  <si>
    <t>TTE</t>
  </si>
  <si>
    <t>Công ty Cổ phần Đầu tư Năng lượng Trường Thịnh</t>
  </si>
  <si>
    <t>TTD</t>
  </si>
  <si>
    <t>Công ty Cổ phần Bệnh viện Tim Tâm Đức</t>
  </si>
  <si>
    <t>TTC</t>
  </si>
  <si>
    <t>Công ty Cổ phần Gạch men Thanh Thanh</t>
  </si>
  <si>
    <t>TTB</t>
  </si>
  <si>
    <t>Công ty Cổ phần TTBGROUP</t>
  </si>
  <si>
    <t>TTA</t>
  </si>
  <si>
    <t>Công ty Cổ phần Đầu tư Xây dựng và Phát triển Trường Thành</t>
  </si>
  <si>
    <t>TT6</t>
  </si>
  <si>
    <t>Công ty Cổ Phần Tập Đoàn Tiến Thịnh</t>
  </si>
  <si>
    <t>TST</t>
  </si>
  <si>
    <t>Công ty Cổ phần Dịch vụ Kỹ thuật Viễn thông</t>
  </si>
  <si>
    <t>TSJ</t>
  </si>
  <si>
    <t>Công ty Cổ phần Du lịch Dịch vụ Hà Nội</t>
  </si>
  <si>
    <t>TSG</t>
  </si>
  <si>
    <t>Công ty Cổ phần Thông tin Tín hiệu Đường sắt Sài Gòn</t>
  </si>
  <si>
    <t>TSD</t>
  </si>
  <si>
    <t>Công ty Cổ phần Du lịch Trường Sơn Coecco</t>
  </si>
  <si>
    <t>TSC</t>
  </si>
  <si>
    <t>Công ty Cổ phần Vật tư Kỹ thuật Nông nghiệp Cần Thơ</t>
  </si>
  <si>
    <t>TSB</t>
  </si>
  <si>
    <t>Công ty Cổ phần Ắc quy Tia Sáng</t>
  </si>
  <si>
    <t>TSA</t>
  </si>
  <si>
    <t>Công ty Cổ Phần Đầu Tư Và Xây Lắp Trường Sơn</t>
  </si>
  <si>
    <t>TS5</t>
  </si>
  <si>
    <t>TS4</t>
  </si>
  <si>
    <t>Công ty Cổ phần Thủy sản số 4</t>
  </si>
  <si>
    <t>TS3</t>
  </si>
  <si>
    <t>Công ty Cổ phần Trường Sơn 532</t>
  </si>
  <si>
    <t>TRV</t>
  </si>
  <si>
    <t>Công ty Cổ Phần Vận tải Đường sắt</t>
  </si>
  <si>
    <t>TRT</t>
  </si>
  <si>
    <t>Công ty Cổ phần RedstarCera</t>
  </si>
  <si>
    <t>TRS</t>
  </si>
  <si>
    <t>Công ty Cổ phần Vận tải và Dịch vụ Hàng Hải</t>
  </si>
  <si>
    <t>TRC</t>
  </si>
  <si>
    <t>Công ty Cổ phần Cao su Tây Ninh</t>
  </si>
  <si>
    <t>TRA</t>
  </si>
  <si>
    <t>Công ty Cổ phần Traphaco</t>
  </si>
  <si>
    <t>TR1</t>
  </si>
  <si>
    <t>Công ty Cổ phần Vận Tải 1 Traco</t>
  </si>
  <si>
    <t>TQW</t>
  </si>
  <si>
    <t>Công ty Cổ phần Cấp thoát nước Tuyên Quang</t>
  </si>
  <si>
    <t>TQN</t>
  </si>
  <si>
    <t>Công ty Cổ phần Thông Quảng Ninh</t>
  </si>
  <si>
    <t>TPS</t>
  </si>
  <si>
    <t>Công ty Cổ phần Bến bãi vận tải Sài Gòn</t>
  </si>
  <si>
    <t>TPP</t>
  </si>
  <si>
    <t>Công ty Cổ phần Tân Phú Việt Nam</t>
  </si>
  <si>
    <t>TPH</t>
  </si>
  <si>
    <t>Công ty Cổ phần In Sách giáo khoa tại Thành phố Hà Nội</t>
  </si>
  <si>
    <t>TPC</t>
  </si>
  <si>
    <t>Công ty Cổ phần Nhựa Tân Đại Hưng</t>
  </si>
  <si>
    <t>TPB</t>
  </si>
  <si>
    <t>Ngân hàng Thương mại Cổ phần Tiên Phong</t>
  </si>
  <si>
    <t>TOW</t>
  </si>
  <si>
    <t>Công ty Cổ phần Cấp nước Trà Nóc - Ô Môn</t>
  </si>
  <si>
    <t>TOT</t>
  </si>
  <si>
    <t>Công ty Cổ phần Transimex Logistics</t>
  </si>
  <si>
    <t>TOS</t>
  </si>
  <si>
    <t>Công ty Cổ phần Dịch vụ biển Tân Cảng</t>
  </si>
  <si>
    <t>TOP</t>
  </si>
  <si>
    <t>Công ty Cổ phần Phân phối Top One</t>
  </si>
  <si>
    <t>TNW</t>
  </si>
  <si>
    <t>Công ty Cổ phần Nước sạch Thái Nguyên</t>
  </si>
  <si>
    <t>TNV</t>
  </si>
  <si>
    <t>Công ty Cổ phần Thống Nhất Hà Nội</t>
  </si>
  <si>
    <t>TNT</t>
  </si>
  <si>
    <t>Công ty Cổ phần Tập đoàn TNT</t>
  </si>
  <si>
    <t>TNS</t>
  </si>
  <si>
    <t>Công ty Cổ phần Thép tấm lá Thống Nhất</t>
  </si>
  <si>
    <t>TNP</t>
  </si>
  <si>
    <t>Công ty Cổ phần Cảng Thị Nại</t>
  </si>
  <si>
    <t>TNM</t>
  </si>
  <si>
    <t>Công ty Cổ phần Xuất nhập khẩu và Xây dựng Công trình</t>
  </si>
  <si>
    <t>TNI</t>
  </si>
  <si>
    <t>Công ty Cổ phần Tập đoàn Thành Nam</t>
  </si>
  <si>
    <t>TNH</t>
  </si>
  <si>
    <t>Công ty Cổ phần Tập đoàn Bệnh viện TNH</t>
  </si>
  <si>
    <t>TNG</t>
  </si>
  <si>
    <t>Công ty Cổ phần Đầu tư và Thương mại TNG</t>
  </si>
  <si>
    <t>TNC</t>
  </si>
  <si>
    <t>Công ty Cổ phần Cao su Thống Nhất</t>
  </si>
  <si>
    <t>TNB</t>
  </si>
  <si>
    <t>Công ty Cổ phần Thép Nhà Bè - VNSTEEL</t>
  </si>
  <si>
    <t>TNA</t>
  </si>
  <si>
    <t>Công ty Cổ phần Thương mại Xuất nhập khẩu Thiên Nam</t>
  </si>
  <si>
    <t>TN1</t>
  </si>
  <si>
    <t>Công ty Cổ phần Rox Key Holdings</t>
  </si>
  <si>
    <t>TMX</t>
  </si>
  <si>
    <t>Công ty Cổ phần VICEM Thương mại Xi măng</t>
  </si>
  <si>
    <t>TMW</t>
  </si>
  <si>
    <t>Công ty Cổ phần Tổng hợp Gỗ Tân Mai</t>
  </si>
  <si>
    <t>TMT</t>
  </si>
  <si>
    <t>Công ty Cổ phần Ô tô TMT</t>
  </si>
  <si>
    <t>TMS</t>
  </si>
  <si>
    <t>Công ty Cổ phần Transimex</t>
  </si>
  <si>
    <t>TMP</t>
  </si>
  <si>
    <t>Công ty Cổ phần Thủy điện Thác Mơ</t>
  </si>
  <si>
    <t>TMG</t>
  </si>
  <si>
    <t>Công ty Cổ phần Kim loại màu Thái Nguyên - Vimico</t>
  </si>
  <si>
    <t>TMC</t>
  </si>
  <si>
    <t>Công ty Cổ phần Thương mại Xuất nhập khẩu Thủ Đức</t>
  </si>
  <si>
    <t>TMB</t>
  </si>
  <si>
    <t>Công ty Cổ phần Kinh doanh Than Miền Bắc - Vinacomin</t>
  </si>
  <si>
    <t>TLT</t>
  </si>
  <si>
    <t>Công ty Cổ phần Viglacera Thăng Long</t>
  </si>
  <si>
    <t>TLP</t>
  </si>
  <si>
    <t>Tổng Công ty Thương mại Xuất nhập khẩu Thanh Lễ - CTCP</t>
  </si>
  <si>
    <t>TLI</t>
  </si>
  <si>
    <t>Công ty Cổ phần May Quốc tế Thắng Lợi</t>
  </si>
  <si>
    <t>TLH</t>
  </si>
  <si>
    <t>Công ty Cổ phần Tập đoàn Thép Tiến Lên</t>
  </si>
  <si>
    <t>TLG</t>
  </si>
  <si>
    <t>Công ty Cổ phần Tập đoàn Thiên Long</t>
  </si>
  <si>
    <t>TLD</t>
  </si>
  <si>
    <t>Công ty Cổ phần Đầu tư Xây dựng và Phát triển Đô thị Thăng Long</t>
  </si>
  <si>
    <t>TL4</t>
  </si>
  <si>
    <t>Tổng Công ty Xây dựng Thủy lợi 4 - Công ty Cổ phần</t>
  </si>
  <si>
    <t>TKU</t>
  </si>
  <si>
    <t>Công ty Cổ phần Công nghiệp Tung Kuang</t>
  </si>
  <si>
    <t>TKG</t>
  </si>
  <si>
    <t>Công ty Cổ phần Sản xuất và Thương mại Tùng Khánh</t>
  </si>
  <si>
    <t>TKC</t>
  </si>
  <si>
    <t>Công ty Cổ phần Xây dựng và Kinh doanh Địa ốc Tân Kỷ</t>
  </si>
  <si>
    <t>TKA</t>
  </si>
  <si>
    <t>Công ty Cổ phần Bao bì Tân Khánh An</t>
  </si>
  <si>
    <t>TJC</t>
  </si>
  <si>
    <t>Công ty Cổ phần Dịch vụ Vận tải và Thương mại</t>
  </si>
  <si>
    <t>TIX</t>
  </si>
  <si>
    <t>Công ty Cổ phần Sản xuất Kinh doanh Xuất nhập khẩu Dịch vụ và Đầu tư Tân Bình</t>
  </si>
  <si>
    <t>TIS</t>
  </si>
  <si>
    <t>Công ty Cổ phần Gang thép Thái Nguyên</t>
  </si>
  <si>
    <t>TIP</t>
  </si>
  <si>
    <t>Công ty Cổ phần Phát triển Khu công nghiệp Tín Nghĩa</t>
  </si>
  <si>
    <t>TIN</t>
  </si>
  <si>
    <t>Công ty Tài chính tổng hợp cổ phần Tín Việt</t>
  </si>
  <si>
    <t>TIG</t>
  </si>
  <si>
    <t>Công ty Cổ phần Tập đoàn Đầu tư Thăng Long</t>
  </si>
  <si>
    <t>TIE</t>
  </si>
  <si>
    <t>Công ty Cổ phần TIE</t>
  </si>
  <si>
    <t>TID</t>
  </si>
  <si>
    <t>Công ty Cổ phần Tổng Công ty Tín Nghĩa</t>
  </si>
  <si>
    <t>THW</t>
  </si>
  <si>
    <t>Công ty Cổ phần Cấp nước Tân Hòa</t>
  </si>
  <si>
    <t>THU</t>
  </si>
  <si>
    <t>Công ty Cổ phần Môi trường và Công trình đô thị Thanh Hóa</t>
  </si>
  <si>
    <t>THT</t>
  </si>
  <si>
    <t>Công ty Cổ phần Than Hà Tu - Vinacomin</t>
  </si>
  <si>
    <t>THS</t>
  </si>
  <si>
    <t>Công ty Cổ phần Thanh Hoa Sông Đà</t>
  </si>
  <si>
    <t>THP</t>
  </si>
  <si>
    <t>Công ty Cổ phần Thủy sản và Thương mại Thuận Phước</t>
  </si>
  <si>
    <t>THN</t>
  </si>
  <si>
    <t>Công ty Cổ phần Cấp nước Thanh Hóa</t>
  </si>
  <si>
    <t>THM</t>
  </si>
  <si>
    <t>Công ty Cổ phần Tứ Hải Hà Nam</t>
  </si>
  <si>
    <t>THI</t>
  </si>
  <si>
    <t>Công ty Cổ phần Thiết bị điện</t>
  </si>
  <si>
    <t>THG</t>
  </si>
  <si>
    <t>Công ty Cổ phần Đầu tư và Xây dựng Tiền Giang</t>
  </si>
  <si>
    <t>THD</t>
  </si>
  <si>
    <t>Công ty Cổ phần Thaiholdings</t>
  </si>
  <si>
    <t>THB</t>
  </si>
  <si>
    <t>Công ty Cổ phần Bia Hà Nội - Thanh Hóa</t>
  </si>
  <si>
    <t>TH1</t>
  </si>
  <si>
    <t>Công ty Cổ phần Xuất nhập khẩu Tổng hợp I Việt Nam</t>
  </si>
  <si>
    <t>TGP</t>
  </si>
  <si>
    <t>Công ty Cổ phần Trường Phú</t>
  </si>
  <si>
    <t>TGG</t>
  </si>
  <si>
    <t>Công ty Cổ phần The Golden Group</t>
  </si>
  <si>
    <t>TFC</t>
  </si>
  <si>
    <t>Công ty Cổ phần Trang</t>
  </si>
  <si>
    <t>TET</t>
  </si>
  <si>
    <t>Công ty Cổ phần Vải sợi May mặc Miền Bắc</t>
  </si>
  <si>
    <t>TEL</t>
  </si>
  <si>
    <t>Công ty Cổ phần Phát triển Công trình Viễn thông</t>
  </si>
  <si>
    <t>TEG</t>
  </si>
  <si>
    <t>Công ty Cổ phần Năng Lượng và Bất động sản Trường Thành</t>
  </si>
  <si>
    <t>TED</t>
  </si>
  <si>
    <t>Tổng Công ty Tư vấn Thiết kế Giao thông Vận tải - CTCP</t>
  </si>
  <si>
    <t>TEC</t>
  </si>
  <si>
    <t>Công ty Cổ phần Traenco</t>
  </si>
  <si>
    <t>TDW</t>
  </si>
  <si>
    <t>Công ty Cổ phần Cấp nước Thủ Đức</t>
  </si>
  <si>
    <t>TDT</t>
  </si>
  <si>
    <t>Công ty Cổ phần Đầu tư và Phát triển TDT</t>
  </si>
  <si>
    <t>TDS</t>
  </si>
  <si>
    <t>Công ty Cổ phần Thép Thủ Đức - VNSTEEL</t>
  </si>
  <si>
    <t>TDP</t>
  </si>
  <si>
    <t>Công ty Cổ phần Thuận Đức</t>
  </si>
  <si>
    <t>TDN</t>
  </si>
  <si>
    <t>Công ty Cổ phần Than Đèo Nai - Vinacomin</t>
  </si>
  <si>
    <t>TDM</t>
  </si>
  <si>
    <t>Công ty Cổ phần Nước Thủ Dầu Một</t>
  </si>
  <si>
    <t>TDI</t>
  </si>
  <si>
    <t xml:space="preserve">Công ty Cổ phần Tập đoàn TDI </t>
  </si>
  <si>
    <t>TDH</t>
  </si>
  <si>
    <t>Công ty Cổ phần Phát triển Nhà Thủ Đức</t>
  </si>
  <si>
    <t>TDG</t>
  </si>
  <si>
    <t>Công ty Cổ phần Đầu tư TDG Global</t>
  </si>
  <si>
    <t>TDF</t>
  </si>
  <si>
    <t>Công ty Cổ phần Trung Đô</t>
  </si>
  <si>
    <t>TDC</t>
  </si>
  <si>
    <t>Công ty Cổ phần Kinh doanh và Phát triển Bình Dương</t>
  </si>
  <si>
    <t>TDB</t>
  </si>
  <si>
    <t>Công ty Cổ phần Thủy điện Định Bình</t>
  </si>
  <si>
    <t>TD6</t>
  </si>
  <si>
    <t>Công ty Cổ Phần Than Đèo Nai - Cọc Sáu - TKV</t>
  </si>
  <si>
    <t>TCX</t>
  </si>
  <si>
    <t>Công ty Cổ phần Chứng khoán Kỹ Thương</t>
  </si>
  <si>
    <t>TCW</t>
  </si>
  <si>
    <t>Công ty Cổ phần Kho Vận Tân Cảng</t>
  </si>
  <si>
    <t>TCT</t>
  </si>
  <si>
    <t>Công ty Cổ phần Cáp treo Núi Bà Tây Ninh</t>
  </si>
  <si>
    <t>TCR</t>
  </si>
  <si>
    <t>Công ty Cổ phần Công nghiệp Gốm sứ TAICERA</t>
  </si>
  <si>
    <t>TCO</t>
  </si>
  <si>
    <t>Công ty Cổ phần TCO Holdings</t>
  </si>
  <si>
    <t>TCM</t>
  </si>
  <si>
    <t>Công ty Cổ phần Dệt may - Đầu tư - Thương mại Thành Công</t>
  </si>
  <si>
    <t>TCL</t>
  </si>
  <si>
    <t>Công ty Cổ phần Đại lý Giao nhận Vận tải Xếp dỡ Tân Cảng</t>
  </si>
  <si>
    <t>TCK</t>
  </si>
  <si>
    <t>Tổng Công ty Cơ khí Xây dựng - CTCP</t>
  </si>
  <si>
    <t>TCJ</t>
  </si>
  <si>
    <t>Công ty Cổ phần Tô Châu</t>
  </si>
  <si>
    <t>TCI</t>
  </si>
  <si>
    <t>Công ty Cổ phần Chứng khoán Thành Công</t>
  </si>
  <si>
    <t>TCH</t>
  </si>
  <si>
    <t>Công ty Cổ phần Đầu tư Dịch vụ Tài chính Hoàng Huy</t>
  </si>
  <si>
    <t>TCD</t>
  </si>
  <si>
    <t>Công ty cổ phần Tập đoàn Xây dựng Tracodi</t>
  </si>
  <si>
    <t>TCB</t>
  </si>
  <si>
    <t>Ngân hàng Thương mại Cổ phần Kỹ thương Việt Nam</t>
  </si>
  <si>
    <t>TC6</t>
  </si>
  <si>
    <t>Công ty Cổ phần Than Cọc Sáu - Vinacomin</t>
  </si>
  <si>
    <t>TBX</t>
  </si>
  <si>
    <t>Công ty Cổ phần Xi măng Thái Bình</t>
  </si>
  <si>
    <t>TBW</t>
  </si>
  <si>
    <t>Công ty cổ phần Nước sạch Thái Bình</t>
  </si>
  <si>
    <t>TBT</t>
  </si>
  <si>
    <t>Công ty Cổ phần Xây dựng Công trình Giao thông Bến Tre</t>
  </si>
  <si>
    <t>TBR</t>
  </si>
  <si>
    <t>Công ty Cổ phần Địa ốc Tân Bình</t>
  </si>
  <si>
    <t>TBH</t>
  </si>
  <si>
    <t>Công ty Cổ phần Tổng Bách Hóa</t>
  </si>
  <si>
    <t>TBD</t>
  </si>
  <si>
    <t>Tổng công ty Thiết bị điện Đông Anh - Công ty Cổ phần</t>
  </si>
  <si>
    <t>TBC</t>
  </si>
  <si>
    <t>Công ty Cổ phần Thủy điện Thác Bà</t>
  </si>
  <si>
    <t>TB8</t>
  </si>
  <si>
    <t>Công ty Cổ phần Sản xuất và Kinh doanh Vật tư Thiết bị - VVMI</t>
  </si>
  <si>
    <t>TAW</t>
  </si>
  <si>
    <t>Công ty Cổ phần Cấp nước Trung An</t>
  </si>
  <si>
    <t>TAR</t>
  </si>
  <si>
    <t>Công ty Cổ phần Nông nghiệp Công nghệ cao Trung An</t>
  </si>
  <si>
    <t>TAP</t>
  </si>
  <si>
    <t>Công ty Cổ phần Đô thị Tân An</t>
  </si>
  <si>
    <t>TAN</t>
  </si>
  <si>
    <t>Công ty Cổ phần Cà phê Thuận An</t>
  </si>
  <si>
    <t>TAL</t>
  </si>
  <si>
    <t>Công Ty Cổ Phần Đầu Tư Bất Động Sản Taseco</t>
  </si>
  <si>
    <t>TAG</t>
  </si>
  <si>
    <t>Công ty Cổ phần Thế giới số Trần Anh</t>
  </si>
  <si>
    <t>TAC</t>
  </si>
  <si>
    <t>Công ty Cổ phần Dầu Thực vật Tường An</t>
  </si>
  <si>
    <t>TAB</t>
  </si>
  <si>
    <t>Công ty Cổ phần Freco Việt Nam</t>
  </si>
  <si>
    <t>TA9</t>
  </si>
  <si>
    <t>Công ty Cổ phần Xây lắp Thành An 96</t>
  </si>
  <si>
    <t>TA6</t>
  </si>
  <si>
    <t>Công ty Cổ phần Đầu tư và Xây lắp Thành An 665</t>
  </si>
  <si>
    <t>TA3</t>
  </si>
  <si>
    <t>Công ty cổ phần Đầu tư và Xây lắp Thành An 386</t>
  </si>
  <si>
    <t>T12</t>
  </si>
  <si>
    <t>SZL</t>
  </si>
  <si>
    <t>Công ty Cổ phần Sonadezi Long Thành</t>
  </si>
  <si>
    <t>SZG</t>
  </si>
  <si>
    <t>Công ty Cổ phần Sonadezi Giang Điền</t>
  </si>
  <si>
    <t>SZE</t>
  </si>
  <si>
    <t>Công ty Cổ phần Môi trường Sonadezi</t>
  </si>
  <si>
    <t>SZC</t>
  </si>
  <si>
    <t>Công ty Cổ phần Sonadezi Châu Đức</t>
  </si>
  <si>
    <t>SZB</t>
  </si>
  <si>
    <t>Công ty Cổ phần Sonadezi Long Bình</t>
  </si>
  <si>
    <t>SWC</t>
  </si>
  <si>
    <t>Tổng Công ty Cổ phần Đường Sông Miền Nam</t>
  </si>
  <si>
    <t>SVT</t>
  </si>
  <si>
    <t>Công ty Cổ phần Công nghệ Sài Gòn Viễn Đông</t>
  </si>
  <si>
    <t>SVN</t>
  </si>
  <si>
    <t>Công ty Cổ phần Tập đoàn Vexilla Việt Nam</t>
  </si>
  <si>
    <t>SVL</t>
  </si>
  <si>
    <t>SVI</t>
  </si>
  <si>
    <t>Công ty Cổ phần Bao bì Biên Hòa</t>
  </si>
  <si>
    <t>SVH</t>
  </si>
  <si>
    <t>Công ty Cổ phần Thủy điện Sông Vàng</t>
  </si>
  <si>
    <t>SVG</t>
  </si>
  <si>
    <t>Công ty Cổ phần Hơi kỹ nghệ Que hàn</t>
  </si>
  <si>
    <t>SVD</t>
  </si>
  <si>
    <t>Công ty Cổ phần Đầu tư &amp; Thương mại Vũ Đăng</t>
  </si>
  <si>
    <t>SVC</t>
  </si>
  <si>
    <t>Công ty Cổ phần Dịch vụ tổng hợp Sài Gòn</t>
  </si>
  <si>
    <t>STW</t>
  </si>
  <si>
    <t>Công ty Cổ phần Cấp nước Sóc Trăng</t>
  </si>
  <si>
    <t>STT</t>
  </si>
  <si>
    <t>Công ty Cổ phần Vận chuyển Sài Gòn Tourist</t>
  </si>
  <si>
    <t>STS</t>
  </si>
  <si>
    <t>Công ty Cổ phần Dịch vụ vận tải Sài Gòn</t>
  </si>
  <si>
    <t>STP</t>
  </si>
  <si>
    <t>Công ty Cổ phần Công nghiệp Thương mại Sông Đà</t>
  </si>
  <si>
    <t>STL</t>
  </si>
  <si>
    <t>Công ty Cổ phần Sông Đà - Thăng Long</t>
  </si>
  <si>
    <t>STK</t>
  </si>
  <si>
    <t>Công ty Cổ phần Sợi Thế Kỷ</t>
  </si>
  <si>
    <t>STH</t>
  </si>
  <si>
    <t>Công ty Cổ phần STH Holdings</t>
  </si>
  <si>
    <t>STG</t>
  </si>
  <si>
    <t>Công ty Cổ phần Kho Vận Miền Nam</t>
  </si>
  <si>
    <t>STC</t>
  </si>
  <si>
    <t>Công ty Cổ phần Sách và Thiết bị trường học Thành phố Hồ Chí Minh</t>
  </si>
  <si>
    <t>STB</t>
  </si>
  <si>
    <t>Ngân hàng Thương mại Cổ phần Sài Gòn Thương Tín</t>
  </si>
  <si>
    <t>ST8</t>
  </si>
  <si>
    <t>Công ty Cổ phần Tập đoàn ST8</t>
  </si>
  <si>
    <t>SSU</t>
  </si>
  <si>
    <t>Công ty Cổ phần Môi trường Đô thị Sóc Sơn</t>
  </si>
  <si>
    <t>SSN</t>
  </si>
  <si>
    <t>Công ty Cổ phần Xuất nhập khẩu Thủy sản Sài Gòn</t>
  </si>
  <si>
    <t>SSM</t>
  </si>
  <si>
    <t>Công ty Cổ phần Chế tạo kết cấu thép VNECO.SSM</t>
  </si>
  <si>
    <t>SSI</t>
  </si>
  <si>
    <t>Công ty Cổ phần Chứng khoán SSI</t>
  </si>
  <si>
    <t>SSH</t>
  </si>
  <si>
    <t>Công ty Cổ phần Phát triển Sunshine Homes</t>
  </si>
  <si>
    <t>SSG</t>
  </si>
  <si>
    <t>Công ty Cổ phần Vận tải Biển Hải Âu</t>
  </si>
  <si>
    <t>SSF</t>
  </si>
  <si>
    <t>Công ty Cổ phần Giáo dục G Sài Gòn</t>
  </si>
  <si>
    <t>SSC</t>
  </si>
  <si>
    <t>Công ty Cổ phần Giống cây trồng Miền Nam</t>
  </si>
  <si>
    <t>SSB</t>
  </si>
  <si>
    <t>Ngân hàng Thương mại Cổ phần Đông Nam Á</t>
  </si>
  <si>
    <t>SRT</t>
  </si>
  <si>
    <t>Công ty Cổ phần Vận tải Đường sắt Sài Gòn</t>
  </si>
  <si>
    <t>SRF</t>
  </si>
  <si>
    <t>Công ty Cổ phần Searefico</t>
  </si>
  <si>
    <t>SRC</t>
  </si>
  <si>
    <t>Công ty Cổ phần Cao su Sao Vàng</t>
  </si>
  <si>
    <t>SRB</t>
  </si>
  <si>
    <t>Công ty Cổ phần Tập đoàn Sara</t>
  </si>
  <si>
    <t>SRA</t>
  </si>
  <si>
    <t>Công ty Cổ phần SARA Việt Nam</t>
  </si>
  <si>
    <t>SQC</t>
  </si>
  <si>
    <t>Công ty Cổ phần Khoáng sản Sài Gòn - Quy Nhơn</t>
  </si>
  <si>
    <t>SPV</t>
  </si>
  <si>
    <t>Công ty Cổ phần Thủy Đặc Sản</t>
  </si>
  <si>
    <t>SPP</t>
  </si>
  <si>
    <t>Công ty Cổ phần Bao bì Nhựa Sài Gòn</t>
  </si>
  <si>
    <t>SPM</t>
  </si>
  <si>
    <t>Công ty Cổ phần S.P.M</t>
  </si>
  <si>
    <t>SPI</t>
  </si>
  <si>
    <t>Công ty Cổ phần Spiral Galaxy</t>
  </si>
  <si>
    <t>SPH</t>
  </si>
  <si>
    <t>Công ty Cổ phần Xuất Nhập khẩu Thủy sản Hà Nội</t>
  </si>
  <si>
    <t>SPD</t>
  </si>
  <si>
    <t>Công ty Cổ phần Xuất nhập khẩu Thủy sản Miền Trung</t>
  </si>
  <si>
    <t>SPC</t>
  </si>
  <si>
    <t>Công ty Cổ phần Bảo vệ Thực vật Sài Gòn</t>
  </si>
  <si>
    <t>SPB</t>
  </si>
  <si>
    <t>Công ty Cổ phần Sợi Phú Bài</t>
  </si>
  <si>
    <t>SPA</t>
  </si>
  <si>
    <t>Công ty Cổ phần Bao bì Sài Gòn</t>
  </si>
  <si>
    <t>SP2</t>
  </si>
  <si>
    <t>Công ty Cổ phần Thủy điện Sử Pán 2</t>
  </si>
  <si>
    <t>SON</t>
  </si>
  <si>
    <t>SNZ</t>
  </si>
  <si>
    <t>Tổng Công ty Cổ phần Phát triển Khu Công nghiệp</t>
  </si>
  <si>
    <t>SNC</t>
  </si>
  <si>
    <t>Công ty Cổ phần Xuất nhập khẩu Thủy sản Năm Căn</t>
  </si>
  <si>
    <t>SMT</t>
  </si>
  <si>
    <t>Công ty Cổ phần SAMETEL</t>
  </si>
  <si>
    <t>SMN</t>
  </si>
  <si>
    <t>Công ty Cổ phần Sách và thiết bị giáo dục Miền Nam</t>
  </si>
  <si>
    <t>SMC</t>
  </si>
  <si>
    <t>Công ty Cổ phần Đầu tư Thương mại SMC</t>
  </si>
  <si>
    <t>SMB</t>
  </si>
  <si>
    <t>Công ty Cổ phần Bia Sài Gòn - Miền Trung</t>
  </si>
  <si>
    <t>SMA</t>
  </si>
  <si>
    <t>Công ty Cổ phần Thiết bị Phụ tùng Sài Gòn</t>
  </si>
  <si>
    <t>SLS</t>
  </si>
  <si>
    <t>Công ty Cổ phần Mía đường Sơn La</t>
  </si>
  <si>
    <t>SLD</t>
  </si>
  <si>
    <t>Công ty Cổ phần Địa Ốc Sacom</t>
  </si>
  <si>
    <t>SKV</t>
  </si>
  <si>
    <t>Công ty Cổ phần Nước Giải khát Yến sào Khánh Hòa</t>
  </si>
  <si>
    <t>SKN</t>
  </si>
  <si>
    <t>Công ty Cổ phần Nước giải khát Sanna Khánh Hòa</t>
  </si>
  <si>
    <t>SKH</t>
  </si>
  <si>
    <t>Công ty Cổ phần Nước giải khát Sanest Khánh Hòa</t>
  </si>
  <si>
    <t>SKG</t>
  </si>
  <si>
    <t>Công ty Cổ phần Tàu Cao tốc Superdong - Kiên Giang</t>
  </si>
  <si>
    <t>SJS</t>
  </si>
  <si>
    <t>Công ty Cổ phần SJ Group</t>
  </si>
  <si>
    <t>SJM</t>
  </si>
  <si>
    <t>Công ty Cổ phần Sông Đà 19</t>
  </si>
  <si>
    <t>SJG</t>
  </si>
  <si>
    <t>Tổng Công ty Sông Đà</t>
  </si>
  <si>
    <t>SJF</t>
  </si>
  <si>
    <t>Công ty Cổ phần Đầu tư Sao Thái Dương</t>
  </si>
  <si>
    <t>SJE</t>
  </si>
  <si>
    <t>Công ty Cổ phần Sông Đà 11</t>
  </si>
  <si>
    <t>SJD</t>
  </si>
  <si>
    <t>Công ty Cổ phần Thủy điện Cần Đơn</t>
  </si>
  <si>
    <t>SJC</t>
  </si>
  <si>
    <t>Công ty Cổ phần Sông Đà 1.01</t>
  </si>
  <si>
    <t>SJ1</t>
  </si>
  <si>
    <t>Công ty Cổ phần Nông nghiệp Hùng Hậu</t>
  </si>
  <si>
    <t>SIV</t>
  </si>
  <si>
    <t>Công ty Cổ phần SIVICO</t>
  </si>
  <si>
    <t>SIP</t>
  </si>
  <si>
    <t>Công ty Cổ phần Đầu tư Sài Gòn VRG</t>
  </si>
  <si>
    <t>SII</t>
  </si>
  <si>
    <t>Công ty Cổ phần Hạ tầng Nước Sài Gòn</t>
  </si>
  <si>
    <t>SIG</t>
  </si>
  <si>
    <t>Công ty Cổ phần Đầu tư và Thương mại Sông Đà</t>
  </si>
  <si>
    <t>SID</t>
  </si>
  <si>
    <t>Công ty Cổ phần Đầu tư Phát triển Sài Gòn Co.op</t>
  </si>
  <si>
    <t>SIC</t>
  </si>
  <si>
    <t>Công ty Cổ phần ANI</t>
  </si>
  <si>
    <t>SHX</t>
  </si>
  <si>
    <t>Công ty Cổ phần Sài Gòn Hỏa xa</t>
  </si>
  <si>
    <t>SHS</t>
  </si>
  <si>
    <t>Công ty Cổ phần Chứng khoán Sài Gòn - Hà Nội</t>
  </si>
  <si>
    <t>SHP</t>
  </si>
  <si>
    <t>Công ty Cổ phần Thủy điện Miền Nam</t>
  </si>
  <si>
    <t>SHN</t>
  </si>
  <si>
    <t>Công ty Cổ phần Đầu tư Tổng hợp Hà Nội</t>
  </si>
  <si>
    <t>SHI</t>
  </si>
  <si>
    <t>Công ty Cổ phần Quốc tế Sơn Hà</t>
  </si>
  <si>
    <t>SHG</t>
  </si>
  <si>
    <t>Tổng Công ty Cổ phần Sông Hồng</t>
  </si>
  <si>
    <t>SHE</t>
  </si>
  <si>
    <t>Công ty Cổ phần Phát triển Năng Lượng Sơn Hà</t>
  </si>
  <si>
    <t>SHC</t>
  </si>
  <si>
    <t>Công ty Cổ phần Hàng hải Sài Gòn</t>
  </si>
  <si>
    <t>SHB</t>
  </si>
  <si>
    <t>Ngân hàng Thương mại Cổ phần Sài Gòn – Hà Nội</t>
  </si>
  <si>
    <t>SHA</t>
  </si>
  <si>
    <t>Công ty Cổ phần Sơn Hà Sài Gòn</t>
  </si>
  <si>
    <t>SGT</t>
  </si>
  <si>
    <t>Công ty Cổ phần Công nghệ Viễn thông Sài Gòn</t>
  </si>
  <si>
    <t>SGS</t>
  </si>
  <si>
    <t>Công ty Cổ phần Vận tải biển Sài Gòn</t>
  </si>
  <si>
    <t>SGR</t>
  </si>
  <si>
    <t>Công ty Cổ phần Tổng Công ty Cổ phần Địa ốc Sài Gòn</t>
  </si>
  <si>
    <t>SGP</t>
  </si>
  <si>
    <t>Công ty Cổ phần Cảng Sài Gòn</t>
  </si>
  <si>
    <t>SGO</t>
  </si>
  <si>
    <t>Công ty Cổ phần Dầu thực vật Sài Gòn</t>
  </si>
  <si>
    <t>SGN</t>
  </si>
  <si>
    <t>Công ty Cổ phần Phục vụ mặt đất Sài Gòn</t>
  </si>
  <si>
    <t>SGI</t>
  </si>
  <si>
    <t>Công ty Cổ phần Đầu tư SGI Holdings</t>
  </si>
  <si>
    <t>SGH</t>
  </si>
  <si>
    <t>Công ty Cổ phần Khách sạn Sài Gòn</t>
  </si>
  <si>
    <t>SGD</t>
  </si>
  <si>
    <t>Công ty Cổ phần Sách Giáo dục tại Thành phố Hồ Chí Minh</t>
  </si>
  <si>
    <t>SGC</t>
  </si>
  <si>
    <t>Công ty Cổ phần Xuất nhập khẩu Sa Giang</t>
  </si>
  <si>
    <t>SGB</t>
  </si>
  <si>
    <t>Ngân hàng Thương mại Cổ phần Sài Gòn Công thương</t>
  </si>
  <si>
    <t>SFN</t>
  </si>
  <si>
    <t>Công ty Cổ phần Dệt lưới Sài Gòn</t>
  </si>
  <si>
    <t>SFI</t>
  </si>
  <si>
    <t>Công ty Cổ phần Đại lý Vận tải SAFI</t>
  </si>
  <si>
    <t>SFG</t>
  </si>
  <si>
    <t>Công ty Cổ phần Phân bón Miền Nam</t>
  </si>
  <si>
    <t>SFC</t>
  </si>
  <si>
    <t>Công ty Cổ phần Nhiên liệu Sài Gòn</t>
  </si>
  <si>
    <t>SEP</t>
  </si>
  <si>
    <t>Công ty Cổ phần Tổng Công ty Thương mại Quảng Trị</t>
  </si>
  <si>
    <t>SED</t>
  </si>
  <si>
    <t>Công ty Cổ phần Đầu tư và Phát triển Giáo dục Phương Nam</t>
  </si>
  <si>
    <t>SEB</t>
  </si>
  <si>
    <t>Công ty Cổ phần Đầu tư và Phát triển Điện Miền Trung</t>
  </si>
  <si>
    <t>SEA</t>
  </si>
  <si>
    <t>Tổng Công ty Thủy sản Việt Nam - Công ty Cổ phần</t>
  </si>
  <si>
    <t>SDY</t>
  </si>
  <si>
    <t>Công ty Cổ phần Xi măng Sông Đà Yaly</t>
  </si>
  <si>
    <t>SDX</t>
  </si>
  <si>
    <t>Công ty Cổ phần Phòng cháy chữa cháy và Đầu tư Xây dựng Sông Đà</t>
  </si>
  <si>
    <t>SDV</t>
  </si>
  <si>
    <t>Công ty Cổ phần Dịch vụ Sonadezi</t>
  </si>
  <si>
    <t>SDU</t>
  </si>
  <si>
    <t>Công ty Cổ phần Đầu tư Xây dựng và Phát triển Đô thị Sông Đà</t>
  </si>
  <si>
    <t>SDT</t>
  </si>
  <si>
    <t>Công ty Cổ phần Sông Đà 10</t>
  </si>
  <si>
    <t>SDP</t>
  </si>
  <si>
    <t>Công ty Cổ phần SDP</t>
  </si>
  <si>
    <t>SDN</t>
  </si>
  <si>
    <t>Công ty Cổ phần Sơn Đồng Nai</t>
  </si>
  <si>
    <t>SDK</t>
  </si>
  <si>
    <t>Công ty Cổ phần Cơ khí Luyện Kim</t>
  </si>
  <si>
    <t>SDJ</t>
  </si>
  <si>
    <t>Công ty Cổ phần Sông Đà 25</t>
  </si>
  <si>
    <t>SDH</t>
  </si>
  <si>
    <t>Công ty Cổ phần Xây dựng hạ tầng Sông Đà</t>
  </si>
  <si>
    <t>SDG</t>
  </si>
  <si>
    <t>Công ty Cổ phần Sadico Cần Thơ</t>
  </si>
  <si>
    <t>SDD</t>
  </si>
  <si>
    <t>Công ty Cổ phần Đầu tư và Xây lắp Sông Đà</t>
  </si>
  <si>
    <t>SDC</t>
  </si>
  <si>
    <t>Công ty Cổ phần Tư vấn Sông Đà</t>
  </si>
  <si>
    <t>SDB</t>
  </si>
  <si>
    <t>Công ty Cổ phần Sông Đà 207</t>
  </si>
  <si>
    <t>SDA</t>
  </si>
  <si>
    <t>Công ty Cổ phần SIMCO Sông Đà</t>
  </si>
  <si>
    <t>SD9</t>
  </si>
  <si>
    <t>Công ty Cổ phần Sông Đà 9</t>
  </si>
  <si>
    <t>SD8</t>
  </si>
  <si>
    <t>Công ty Cổ phần Sông Đà 8</t>
  </si>
  <si>
    <t>SD7</t>
  </si>
  <si>
    <t>Công ty Cổ phần Sông Đà 7</t>
  </si>
  <si>
    <t>SD6</t>
  </si>
  <si>
    <t>Công ty Cổ phần Sông Đà 6</t>
  </si>
  <si>
    <t>SD5</t>
  </si>
  <si>
    <t>Công ty Cổ phần Sông Đà 5</t>
  </si>
  <si>
    <t>SD4</t>
  </si>
  <si>
    <t>Công ty Cổ phần Sông Đà 4</t>
  </si>
  <si>
    <t>SD3</t>
  </si>
  <si>
    <t>Công ty Cổ phần Sông Đà 3</t>
  </si>
  <si>
    <t>SD2</t>
  </si>
  <si>
    <t>Công ty Cổ phần Sông Đà 2</t>
  </si>
  <si>
    <t>SD1</t>
  </si>
  <si>
    <t>Công ty Cổ phần Sông Đà 1</t>
  </si>
  <si>
    <t>SCY</t>
  </si>
  <si>
    <t>Công ty Cổ phần Đóng tàu Sông Cấm</t>
  </si>
  <si>
    <t>SCV</t>
  </si>
  <si>
    <t>Công ty Cổ phần Muối Việt Nam</t>
  </si>
  <si>
    <t>SCS</t>
  </si>
  <si>
    <t>Công ty Cổ phần Dịch vụ Hàng hóa Sài Gòn</t>
  </si>
  <si>
    <t>SCR</t>
  </si>
  <si>
    <t>Công ty Cổ phần Địa Ốc Sài Gòn Thương Tín</t>
  </si>
  <si>
    <t>SCO</t>
  </si>
  <si>
    <t>Công ty Cổ phần Công nghiệp Thủy sản</t>
  </si>
  <si>
    <t>SCL</t>
  </si>
  <si>
    <t>Công ty Cổ phần Sông Đà Cao Cường</t>
  </si>
  <si>
    <t>SCJ</t>
  </si>
  <si>
    <t>Công ty Cổ phần Xi măng Sài Sơn</t>
  </si>
  <si>
    <t>SCI</t>
  </si>
  <si>
    <t>Công ty Cổ phần SCI E&amp;C</t>
  </si>
  <si>
    <t>SCG</t>
  </si>
  <si>
    <t>Công ty Cổ phần Tập đoàn Xây dựng SCG</t>
  </si>
  <si>
    <t>SCD</t>
  </si>
  <si>
    <t>Công ty Cổ phần Nước giải khát Chương Dương</t>
  </si>
  <si>
    <t>SCC</t>
  </si>
  <si>
    <t>Công ty Cổ phần Thương mại Đầu tư SHB</t>
  </si>
  <si>
    <t>SCA</t>
  </si>
  <si>
    <t>Công ty Cổ phần Nông nghiệp Sông Con</t>
  </si>
  <si>
    <t>SC5</t>
  </si>
  <si>
    <t>Công ty Cổ phần Xây dựng số 5</t>
  </si>
  <si>
    <t>SBV</t>
  </si>
  <si>
    <t>Công ty Cổ phần Siam Brothers Việt Nam</t>
  </si>
  <si>
    <t>SBT</t>
  </si>
  <si>
    <t>Công ty Cổ phần Thành Thành Công - Biên Hòa</t>
  </si>
  <si>
    <t>SBS</t>
  </si>
  <si>
    <t>Công ty Cổ phần Chứng khoán SBS</t>
  </si>
  <si>
    <t>SBR</t>
  </si>
  <si>
    <t>Công ty Cổ phần Cao su Sông Bé</t>
  </si>
  <si>
    <t>SBM</t>
  </si>
  <si>
    <t>Công ty Cổ phần Đầu tư phát triển Bắc Minh</t>
  </si>
  <si>
    <t>SBL</t>
  </si>
  <si>
    <t>Công ty Cổ phần Bia Sài Gòn - Bạc Liêu</t>
  </si>
  <si>
    <t>SBH</t>
  </si>
  <si>
    <t>Công ty Cổ phần Thủy điện Sông Ba Hạ</t>
  </si>
  <si>
    <t>SBG</t>
  </si>
  <si>
    <t>Công ty Cổ Phần Tập Đoàn Cơ Khí Công Nghệ Cao Siba</t>
  </si>
  <si>
    <t>SBD</t>
  </si>
  <si>
    <t>Công ty Cổ phần Công nghệ Sao Bắc Đẩu</t>
  </si>
  <si>
    <t>SBB</t>
  </si>
  <si>
    <t>Công ty Cổ phần Tập đoàn Bia Sài Gòn Bình Tây</t>
  </si>
  <si>
    <t>SBA</t>
  </si>
  <si>
    <t>Công ty Cổ phần Sông Ba</t>
  </si>
  <si>
    <t>SB1</t>
  </si>
  <si>
    <t>Công ty Cổ phần Bia Sài Gòn - Nghệ Tĩnh</t>
  </si>
  <si>
    <t>SAV</t>
  </si>
  <si>
    <t>Công ty Cổ phần Hợp tác Kinh tế và Xuất nhập khẩu Savimex</t>
  </si>
  <si>
    <t>SAS</t>
  </si>
  <si>
    <t>Công ty Cổ phần Dịch vụ Hàng không Sân bay Tân Sơn Nhất</t>
  </si>
  <si>
    <t>SAP</t>
  </si>
  <si>
    <t>Công ty Cổ phần In Sách Giáo khoa TP.Hồ Chí Minh</t>
  </si>
  <si>
    <t>SAM</t>
  </si>
  <si>
    <t>Công ty Cổ phần SAM Holdings</t>
  </si>
  <si>
    <t>SAL</t>
  </si>
  <si>
    <t>Công ty Cổ phần Trục vớt Cứu hộ Việt Nam</t>
  </si>
  <si>
    <t>SAF</t>
  </si>
  <si>
    <t>Công ty Cổ phần Lương thực Thực phẩm SAFOCO</t>
  </si>
  <si>
    <t>SAC</t>
  </si>
  <si>
    <t>Công ty Cổ phần Xếp dỡ và Dịch vụ cảng Sài Gòn</t>
  </si>
  <si>
    <t>SAB</t>
  </si>
  <si>
    <t>Tổng Công ty Cổ phần Bia - Rượu - Nước Giải khát Sài Gòn</t>
  </si>
  <si>
    <t>S99</t>
  </si>
  <si>
    <t>Công ty Cổ phần SCI</t>
  </si>
  <si>
    <t>S96</t>
  </si>
  <si>
    <t>Công ty Cổ phần Sông Đà 9.06</t>
  </si>
  <si>
    <t>S74</t>
  </si>
  <si>
    <t>Công ty Cổ phần Sông Đà 7.04</t>
  </si>
  <si>
    <t>S72</t>
  </si>
  <si>
    <t>Công ty Cổ phần Sông Đà 7.02</t>
  </si>
  <si>
    <t>S55</t>
  </si>
  <si>
    <t>Công ty Cổ phần Sông Đà 505</t>
  </si>
  <si>
    <t>S4A</t>
  </si>
  <si>
    <t>Công ty Cổ phần Thủy điện Sê San 4A</t>
  </si>
  <si>
    <t>S27</t>
  </si>
  <si>
    <t>Công ty Cổ phần Sông Đà 27</t>
  </si>
  <si>
    <t>S12</t>
  </si>
  <si>
    <t>Công ty Cổ phần Sông Đà 12</t>
  </si>
  <si>
    <t>RYG</t>
  </si>
  <si>
    <t>Công ty Cổ phần Sản xuất và Đầu tư Hoàng Gia</t>
  </si>
  <si>
    <t>RTB</t>
  </si>
  <si>
    <t>Công ty Cổ phần Cao su Tân Biên</t>
  </si>
  <si>
    <t>ROS</t>
  </si>
  <si>
    <t>Công ty Cổ phần Xây dựng FLC FAROS</t>
  </si>
  <si>
    <t>RIC</t>
  </si>
  <si>
    <t>Công ty Cổ phần Quốc Tế Hoàng Gia</t>
  </si>
  <si>
    <t>RGG</t>
  </si>
  <si>
    <t>Công ty Cổ phần Regal Group</t>
  </si>
  <si>
    <t>RGC</t>
  </si>
  <si>
    <t>Công ty Cổ phần Đầu tư PV-Inconess</t>
  </si>
  <si>
    <t>REE</t>
  </si>
  <si>
    <t>Công ty Cổ phần Cơ điện Lạnh</t>
  </si>
  <si>
    <t>RDP</t>
  </si>
  <si>
    <t>Công ty Cổ phần Rạng Đông Holding</t>
  </si>
  <si>
    <t>RCL</t>
  </si>
  <si>
    <t>Công ty Cổ phần Địa ốc Chợ Lớn</t>
  </si>
  <si>
    <t>RCD</t>
  </si>
  <si>
    <t>Công ty Cổ phần Xây dựng - Địa ốc Cao su</t>
  </si>
  <si>
    <t>RCC</t>
  </si>
  <si>
    <t>Công ty Cổ phần Tổng Công ty Công trình Đường sắt Việt Nam</t>
  </si>
  <si>
    <t>RBC</t>
  </si>
  <si>
    <t>Công ty Cổ phần Công Nghiệp và Xuất nhập khẩu Cao Su</t>
  </si>
  <si>
    <t>RAT</t>
  </si>
  <si>
    <t>Công ty Cổ phần Vận tải và Thương mại Đường sắt</t>
  </si>
  <si>
    <t>RAL</t>
  </si>
  <si>
    <t>Công ty Cổ phần Bóng đèn Phích nước Rạng Đông</t>
  </si>
  <si>
    <t>QTP</t>
  </si>
  <si>
    <t>Công ty Cổ phần Nhiệt điện Quảng Ninh</t>
  </si>
  <si>
    <t>QTC</t>
  </si>
  <si>
    <t>Công ty Cổ phần Công trình Giao thông Vận tải Quảng Nam</t>
  </si>
  <si>
    <t>QST</t>
  </si>
  <si>
    <t>Công ty Cổ phần Sách và Thiết bị trường học Quảng Ninh</t>
  </si>
  <si>
    <t>QSP</t>
  </si>
  <si>
    <t>Công ty Cổ phần Tân cảng Quy Nhơn</t>
  </si>
  <si>
    <t>QPH</t>
  </si>
  <si>
    <t>Công ty Cổ phần Thủy điện Quế Phong</t>
  </si>
  <si>
    <t>QNW</t>
  </si>
  <si>
    <t>Công ty Cổ phần Cấp thoát nước và xây dựng Quảng Ngãi</t>
  </si>
  <si>
    <t>QNU</t>
  </si>
  <si>
    <t>Công ty Cổ phần Môi trường Đô thị Quảng Nam</t>
  </si>
  <si>
    <t>QNT</t>
  </si>
  <si>
    <t>Công ty Cổ phần Tư vấn và Đầu tư Phát triển Quảng Nam</t>
  </si>
  <si>
    <t>QNS</t>
  </si>
  <si>
    <t>Công ty Cổ phần Đường Quảng Ngãi</t>
  </si>
  <si>
    <t>QNP</t>
  </si>
  <si>
    <t>Công ty Cổ phần Cảng Quy Nhơn</t>
  </si>
  <si>
    <t>QNC</t>
  </si>
  <si>
    <t>Công ty Cổ phần Xi măng và Xây dựng Quảng Ninh</t>
  </si>
  <si>
    <t>QLT</t>
  </si>
  <si>
    <t>Công ty Cổ phần Quản lý Bảo trì Đường thủy Nội địa số 10</t>
  </si>
  <si>
    <t>QLD</t>
  </si>
  <si>
    <t>Công ty Cổ phần Quản lý và Xây dựng Giao thông Lạng Sơn</t>
  </si>
  <si>
    <t>QHW</t>
  </si>
  <si>
    <t>Công ty Cổ phần Nước khoáng Quảng Ninh</t>
  </si>
  <si>
    <t>QHD</t>
  </si>
  <si>
    <t>Công ty Cổ phần Que hàn điện Việt Đức</t>
  </si>
  <si>
    <t>QCG</t>
  </si>
  <si>
    <t>Công ty Cổ phần Quốc Cường Gia Lai</t>
  </si>
  <si>
    <t>QCC</t>
  </si>
  <si>
    <t>Công ty Cổ phần Đầu tư Xây dựng và Phát triển Hạ tầng Viễn Thông</t>
  </si>
  <si>
    <t>QBS</t>
  </si>
  <si>
    <t>Công ty Cổ phần Xuất nhập khẩu Quảng Bình</t>
  </si>
  <si>
    <t>PYU</t>
  </si>
  <si>
    <t>Công ty Cổ phần Môi trường và Công trình đô thị Phúc Yên</t>
  </si>
  <si>
    <t>PXT</t>
  </si>
  <si>
    <t>Công ty Cổ phần Xây lắp Đường ống Bể chứa Dầu khí</t>
  </si>
  <si>
    <t>PXS</t>
  </si>
  <si>
    <t>Công ty Cổ phần Kết cấu Kim loại và Lắp máy Dầu khí</t>
  </si>
  <si>
    <t>PXM</t>
  </si>
  <si>
    <t>Công ty Cổ phần Xây lắp Dầu khí Miền Trung</t>
  </si>
  <si>
    <t>PXL</t>
  </si>
  <si>
    <t>Công ty Cổ phần Đầu tư Khu Công Nghiệp Dầu khí Long Sơn</t>
  </si>
  <si>
    <t>PXI</t>
  </si>
  <si>
    <t>Công ty Cổ phần Xây dựng Công nghiệp và Dân dụng Dầu khí</t>
  </si>
  <si>
    <t>PXC</t>
  </si>
  <si>
    <t>Công ty Cổ phần Phát triển Đô thị Dầu khí</t>
  </si>
  <si>
    <t>PXA</t>
  </si>
  <si>
    <t>Công ty Cổ phần Đầu tư và Thương mại Dầu khí Nghệ An</t>
  </si>
  <si>
    <t>PX1</t>
  </si>
  <si>
    <t>Công ty Cổ phần Xi măng Sông Lam 2</t>
  </si>
  <si>
    <t>PWS</t>
  </si>
  <si>
    <t>Công ty Cổ phần Cấp thoát nước Phú Yên</t>
  </si>
  <si>
    <t>PWA</t>
  </si>
  <si>
    <t>Công ty Cổ phần Bất động sản dầu khí</t>
  </si>
  <si>
    <t>PVY</t>
  </si>
  <si>
    <t>Công ty Cổ phần Chế tạo Giàn khoan Dầu khí</t>
  </si>
  <si>
    <t>PVX</t>
  </si>
  <si>
    <t>Tổng Công ty Cổ phần Xây lắp Dầu khí Việt Nam</t>
  </si>
  <si>
    <t>PVV</t>
  </si>
  <si>
    <t>Công ty Cổ phần Vinaconex 39</t>
  </si>
  <si>
    <t>PVT</t>
  </si>
  <si>
    <t>Tổng Công ty Cổ phần Vận tải Dầu khí</t>
  </si>
  <si>
    <t>PVS</t>
  </si>
  <si>
    <t>Tổng Công ty Cổ phần Dịch vụ Kỹ thuật Dầu khí Việt Nam</t>
  </si>
  <si>
    <t>PVR</t>
  </si>
  <si>
    <t>Công ty Cổ phần Đầu tư PVR Hà Nội</t>
  </si>
  <si>
    <t>PVP</t>
  </si>
  <si>
    <t>Công ty Cổ phần Vận tải Dầu khí Thái Bình Dương</t>
  </si>
  <si>
    <t>PVO</t>
  </si>
  <si>
    <t>Công ty Cổ phần Dầu nhờn PV Oil</t>
  </si>
  <si>
    <t>PVM</t>
  </si>
  <si>
    <t>Công ty Cổ phần Máy - Thiết bị Dầu khí</t>
  </si>
  <si>
    <t>PVL</t>
  </si>
  <si>
    <t>Công ty Cổ phần Địa ốc Dầu khí</t>
  </si>
  <si>
    <t>PVI</t>
  </si>
  <si>
    <t>Công ty Cổ phần PVI</t>
  </si>
  <si>
    <t>PVH</t>
  </si>
  <si>
    <t>Công ty Cổ phần Xây lắp Dầu khí Thanh Hóa</t>
  </si>
  <si>
    <t>PVG</t>
  </si>
  <si>
    <t>Công ty Cổ phần Kinh doanh LPG Việt Nam</t>
  </si>
  <si>
    <t>PVE</t>
  </si>
  <si>
    <t>Tổng Công ty Tư vấn Thiết kế Dầu khí - Công ty Cổ phần</t>
  </si>
  <si>
    <t>PVD</t>
  </si>
  <si>
    <t>Tổng Công ty Cổ phần Khoan và Dịch vụ khoan Dầu khí</t>
  </si>
  <si>
    <t>PVC</t>
  </si>
  <si>
    <t>Tổng Công ty Hóa chất và Dịch vụ Dầu khí - Công ty Cổ phần</t>
  </si>
  <si>
    <t>PVB</t>
  </si>
  <si>
    <t>Công ty Cổ phần Bọc ống Dầu khí Việt Nam</t>
  </si>
  <si>
    <t>PVA</t>
  </si>
  <si>
    <t>Công ty Cổ phần Tổng Công ty Xây lắp Dầu khí Nghệ An</t>
  </si>
  <si>
    <t>PV2</t>
  </si>
  <si>
    <t>Công ty Cổ phần Đầu tư PV2</t>
  </si>
  <si>
    <t>PTX</t>
  </si>
  <si>
    <t>Công ty Cổ phần Vận tải và Dịch vụ Petrolimex Nghệ Tĩnh</t>
  </si>
  <si>
    <t>PTV</t>
  </si>
  <si>
    <t>Công ty Cổ phần Thương mại Dầu khí</t>
  </si>
  <si>
    <t>PTT</t>
  </si>
  <si>
    <t>Công ty Cổ phần Vận tải Dầu khí Đông Dương</t>
  </si>
  <si>
    <t>PTS</t>
  </si>
  <si>
    <t>Công ty Cổ phần Vận tải và Dịch vụ Petrolimex Hải Phòng</t>
  </si>
  <si>
    <t>PTP</t>
  </si>
  <si>
    <t>Công ty Cổ phần PTP</t>
  </si>
  <si>
    <t>PTO</t>
  </si>
  <si>
    <t>Công ty Cổ phần Dịch vụ - Xây dựng Công trình Bưu điện</t>
  </si>
  <si>
    <t>PTN</t>
  </si>
  <si>
    <t>Công ty Cổ phần Phát triển Nhà Khánh Hòa</t>
  </si>
  <si>
    <t>PTM</t>
  </si>
  <si>
    <t>Công ty Cổ phần Sản xuất, Thương mại Và Dịch vụ Ô tô PTM</t>
  </si>
  <si>
    <t>PTL</t>
  </si>
  <si>
    <t>Công ty Cổ phần Victory Group</t>
  </si>
  <si>
    <t>PTI</t>
  </si>
  <si>
    <t>Tổng Công ty Cổ phần Bảo hiểm Bưu điện</t>
  </si>
  <si>
    <t>PTH</t>
  </si>
  <si>
    <t>Công ty Cổ phần Vận tải và Dịch vụ Petrolimex Hà Tây</t>
  </si>
  <si>
    <t>PTG</t>
  </si>
  <si>
    <t>Công ty Cổ phần May Xuất Khẩu Phan Thiết</t>
  </si>
  <si>
    <t>PTE</t>
  </si>
  <si>
    <t>Công ty Cổ phần Xi măng Phú Thọ</t>
  </si>
  <si>
    <t>PTD</t>
  </si>
  <si>
    <t>Công ty Cổ phần Thiết kế - Xây dựng - Thương mại Phúc Thịnh</t>
  </si>
  <si>
    <t>PTC</t>
  </si>
  <si>
    <t>Công ty Cổ phần Đầu tư ICAPITAL</t>
  </si>
  <si>
    <t>PTB</t>
  </si>
  <si>
    <t>Công ty Cổ phần Phú Tài</t>
  </si>
  <si>
    <t>PSW</t>
  </si>
  <si>
    <t>Công ty Cổ phần Phân bón và hóa chất dầu khí Tây Nam Bộ</t>
  </si>
  <si>
    <t>PSP</t>
  </si>
  <si>
    <t>Công ty Cổ phần Cảng Dịch vụ Dầu khí Đình Vũ</t>
  </si>
  <si>
    <t>PSN</t>
  </si>
  <si>
    <t>Công ty Cổ phần Dịch vụ Kỹ thuật PTSC Thanh Hóa</t>
  </si>
  <si>
    <t>PSL</t>
  </si>
  <si>
    <t>Công ty Cổ phần Chăn nuôi Phú Sơn</t>
  </si>
  <si>
    <t>PSI</t>
  </si>
  <si>
    <t>Công ty Cổ phần Chứng khoán Dầu khí</t>
  </si>
  <si>
    <t>PSH</t>
  </si>
  <si>
    <t>Công ty Cổ phần Thương mại Đầu tư Dầu khí Nam Sông Hậu</t>
  </si>
  <si>
    <t>PSG</t>
  </si>
  <si>
    <t>Công ty Cổ phần Đầu tư và Xây lắp Dầu khí Sài Gòn</t>
  </si>
  <si>
    <t>PSE</t>
  </si>
  <si>
    <t>Công ty Cổ phần Phân bón và hóa chất dầu khí Đông Nam Bộ</t>
  </si>
  <si>
    <t>PSD</t>
  </si>
  <si>
    <t>Công ty Cổ phần Dịch vụ Phân phối Tổng hợp Dầu khí</t>
  </si>
  <si>
    <t>PSC</t>
  </si>
  <si>
    <t>Công ty Cổ phần Vận tải và Dịch vụ Petrolimex Sài Gòn</t>
  </si>
  <si>
    <t>PSB</t>
  </si>
  <si>
    <t>Công ty Cổ phần Đầu tư Dầu khí Sao Mai Bến Đình</t>
  </si>
  <si>
    <t>PRT</t>
  </si>
  <si>
    <t>Tổng Công ty Sản xuất - Xuất nhập khẩu Bình Dương - Công ty cổ phần</t>
  </si>
  <si>
    <t>PRO</t>
  </si>
  <si>
    <t>Công ty Cổ phần Procimex Việt Nam</t>
  </si>
  <si>
    <t>PRE</t>
  </si>
  <si>
    <t>Tổng Công ty Cổ phần Tái bảo hiểm Hà Nội</t>
  </si>
  <si>
    <t>PRC</t>
  </si>
  <si>
    <t>Công ty Cổ phần Logistics Portserco</t>
  </si>
  <si>
    <t>PQN</t>
  </si>
  <si>
    <t>Công ty Cổ phần Dịch vụ Dầu khí Quảng Ngãi PTSC</t>
  </si>
  <si>
    <t>PPY</t>
  </si>
  <si>
    <t>Công ty Cổ phần Xăng dầu dầu khí Phú Yên</t>
  </si>
  <si>
    <t>PPT</t>
  </si>
  <si>
    <t>Công ty cổ phần Petro Times</t>
  </si>
  <si>
    <t>PPS</t>
  </si>
  <si>
    <t>Công ty Cổ phần Dịch vụ Kỹ thuật Điện lực Dầu khí Việt Nam</t>
  </si>
  <si>
    <t>PPP</t>
  </si>
  <si>
    <t>Công ty Cổ phần Dược phẩm Phong Phú</t>
  </si>
  <si>
    <t>PPI</t>
  </si>
  <si>
    <t>Công ty Cổ phần Đầu tư và Phát triển dự án hạ tầng Thái Bình Dương</t>
  </si>
  <si>
    <t>PPH</t>
  </si>
  <si>
    <t>Tổng Công ty Cổ phần Phong Phú</t>
  </si>
  <si>
    <t>PPE</t>
  </si>
  <si>
    <t>Công ty Cổ phần Tư vấn Đầu tư PP Enterprise</t>
  </si>
  <si>
    <t>PPC</t>
  </si>
  <si>
    <t>Công ty Cổ phần Nhiệt điện Phả Lại</t>
  </si>
  <si>
    <t>POW</t>
  </si>
  <si>
    <t>Tổng Công ty Điện lực Dầu khí Việt Nam - CTCP</t>
  </si>
  <si>
    <t>POV</t>
  </si>
  <si>
    <t>Công ty Cổ phần Xăng dầu Dầu khí Vũng Áng</t>
  </si>
  <si>
    <t>POT</t>
  </si>
  <si>
    <t>Công ty Cổ phần Thiết bị Bưu điện</t>
  </si>
  <si>
    <t>POS</t>
  </si>
  <si>
    <t>Công ty Cổ phần Vận hành và Xây lắp PTSC</t>
  </si>
  <si>
    <t>POM</t>
  </si>
  <si>
    <t>Công ty Cổ phần Thép Pomina</t>
  </si>
  <si>
    <t>POB</t>
  </si>
  <si>
    <t>Công ty Cổ phần Xăng dầu Dầu khí Hưng Yên</t>
  </si>
  <si>
    <t>PNT</t>
  </si>
  <si>
    <t>Công ty Cổ phần Kỹ thuật Xây dựng Phú Nhuận</t>
  </si>
  <si>
    <t>PNP</t>
  </si>
  <si>
    <t>Công ty Cổ phần Tân Cảng – Phú Hữu</t>
  </si>
  <si>
    <t>PNJ</t>
  </si>
  <si>
    <t>Công ty Cổ phần Vàng bạc Đá quý Phú Nhuận</t>
  </si>
  <si>
    <t>PNG</t>
  </si>
  <si>
    <t>Công ty Cổ phần Thương Mại Phú Nhuận</t>
  </si>
  <si>
    <t>PND</t>
  </si>
  <si>
    <t>Công ty Cổ phần Xăng dầu Dầu khí Nam Định</t>
  </si>
  <si>
    <t>PNC</t>
  </si>
  <si>
    <t>Công ty Cổ phần Văn hóa Phương Nam</t>
  </si>
  <si>
    <t>PMW</t>
  </si>
  <si>
    <t>Công ty Cổ phần Cấp Nước Phú Mỹ</t>
  </si>
  <si>
    <t>PMT</t>
  </si>
  <si>
    <t>Công ty Cổ phần Viễn thông Telvina Việt Nam</t>
  </si>
  <si>
    <t>PMS</t>
  </si>
  <si>
    <t>Công ty Cổ phần Cơ khí Xăng dầu</t>
  </si>
  <si>
    <t>PMP</t>
  </si>
  <si>
    <t>Công ty Cổ phần Bao bì Đạm Phú Mỹ</t>
  </si>
  <si>
    <t>PMJ</t>
  </si>
  <si>
    <t>Công ty Cổ phần Vật tư Bưu điện</t>
  </si>
  <si>
    <t>PMG</t>
  </si>
  <si>
    <t>Công ty Cổ phần Đầu tư và Sản xuất Petro Miền Trung</t>
  </si>
  <si>
    <t>PMC</t>
  </si>
  <si>
    <t>Công ty Cổ phần Dược phẩm Dược liệu Pharmedic</t>
  </si>
  <si>
    <t>PMB</t>
  </si>
  <si>
    <t>Công ty Cổ phần Phân bón và Hóa chất Dầu khí Miền Bắc</t>
  </si>
  <si>
    <t>PLX</t>
  </si>
  <si>
    <t>Tập đoàn Xăng dầu Việt Nam</t>
  </si>
  <si>
    <t>PLP</t>
  </si>
  <si>
    <t>Công ty Cổ phần Sản xuất và Công nghệ Nhựa Pha Lê</t>
  </si>
  <si>
    <t>PLO</t>
  </si>
  <si>
    <t>Công ty Cổ phần Kho vận Petec</t>
  </si>
  <si>
    <t>PLE</t>
  </si>
  <si>
    <t>Công ty Cổ phần Tư vấn Xây dựng Petrolimex</t>
  </si>
  <si>
    <t>PLC</t>
  </si>
  <si>
    <t>Tổng Công ty Hóa dầu Petrolimex - Công ty Cổ phần</t>
  </si>
  <si>
    <t>PLA</t>
  </si>
  <si>
    <t>Công ty Cổ phần Đầu tư và Dịch vụ hạ tầng Xăng dầu</t>
  </si>
  <si>
    <t>PJT</t>
  </si>
  <si>
    <t>Công ty Cổ phần Vận tải Xăng dầu đường thủy Petrolimex</t>
  </si>
  <si>
    <t>PJS</t>
  </si>
  <si>
    <t>Công ty Cổ phần Cấp nước Phú Hòa Tân</t>
  </si>
  <si>
    <t>PJC</t>
  </si>
  <si>
    <t>Công ty Cổ phần Thương mại và Vận tải Petrolimex Hà Nội</t>
  </si>
  <si>
    <t>PIV</t>
  </si>
  <si>
    <t>Công ty Cổ phần PIV</t>
  </si>
  <si>
    <t>PIT</t>
  </si>
  <si>
    <t>Công ty Cổ phần Xuất nhập khẩu Petrolimex</t>
  </si>
  <si>
    <t>PIS</t>
  </si>
  <si>
    <t>Tổng Công ty Pisico Bình Định - Công ty Cổ phần</t>
  </si>
  <si>
    <t>PID</t>
  </si>
  <si>
    <t>Công ty Cổ phần Trang trí nội thất Dầu khí</t>
  </si>
  <si>
    <t>PIC</t>
  </si>
  <si>
    <t>Công ty Cổ phần Đầu tư Điện lực 3</t>
  </si>
  <si>
    <t>PIA</t>
  </si>
  <si>
    <t>Công ty Cổ phần Tin học Viễn thông Petrolimex</t>
  </si>
  <si>
    <t>PHS</t>
  </si>
  <si>
    <t>Công ty Cổ phần Chứng khoán Phú Hưng</t>
  </si>
  <si>
    <t>PHR</t>
  </si>
  <si>
    <t>Công ty Cổ phần Cao su Phước Hòa</t>
  </si>
  <si>
    <t>PHP</t>
  </si>
  <si>
    <t>Công ty Cổ phần Cảng Hải Phòng</t>
  </si>
  <si>
    <t>PHN</t>
  </si>
  <si>
    <t>Công ty Cổ phần Pin Hà Nội</t>
  </si>
  <si>
    <t>PHH</t>
  </si>
  <si>
    <t>Công ty Cổ phần Hồng Hà Việt Nam</t>
  </si>
  <si>
    <t>PHC</t>
  </si>
  <si>
    <t>Công ty Cổ phần Xây dựng Phục Hưng Holdings</t>
  </si>
  <si>
    <t>PGV</t>
  </si>
  <si>
    <t>Tổng Công ty Phát điện 3 - Công ty Cổ phần</t>
  </si>
  <si>
    <t>PGT</t>
  </si>
  <si>
    <t>Công ty Cổ phần PGT Holdings</t>
  </si>
  <si>
    <t>PGS</t>
  </si>
  <si>
    <t>Công ty Cổ phần Kinh doanh Khí Miền Nam</t>
  </si>
  <si>
    <t>PGN</t>
  </si>
  <si>
    <t>Công ty Cổ phần Phụ Gia Nhựa</t>
  </si>
  <si>
    <t>PGI</t>
  </si>
  <si>
    <t>Tổng Công ty Cổ phần Bảo hiểm Petrolimex</t>
  </si>
  <si>
    <t>PGD</t>
  </si>
  <si>
    <t>Công ty Cổ phần Phân phối khí thấp áp dầu khí Việt Nam</t>
  </si>
  <si>
    <t>PGC</t>
  </si>
  <si>
    <t>Tổng Công ty Gas Petrolimex - Công ty Cổ phần</t>
  </si>
  <si>
    <t>PGB</t>
  </si>
  <si>
    <t>Ngân hàng Thương mại Cổ phần Thịnh vượng và Phát triển</t>
  </si>
  <si>
    <t>PFL</t>
  </si>
  <si>
    <t>Công ty Cổ phần Dầu khí Đông Đô</t>
  </si>
  <si>
    <t>PET</t>
  </si>
  <si>
    <t>Tổng Công ty Cổ phần Dịch vụ Tổng hợp Dầu khí</t>
  </si>
  <si>
    <t>PEQ</t>
  </si>
  <si>
    <t>Công ty Cổ phần Thiết bị xăng dầu Petrolimex</t>
  </si>
  <si>
    <t>PEN</t>
  </si>
  <si>
    <t>Công ty Cổ phần Xây lắp III Petrolimex</t>
  </si>
  <si>
    <t>PEG</t>
  </si>
  <si>
    <t>Tổng Công ty Thương mại Kỹ thuật và Đầu tư - Công ty Cổ phần</t>
  </si>
  <si>
    <t>PEC</t>
  </si>
  <si>
    <t>Công ty Cổ phần Cơ khí Điện lực</t>
  </si>
  <si>
    <t>PDV</t>
  </si>
  <si>
    <t>Công ty Cổ phần Vận tải và Tiếp vận Phương Đông Việt</t>
  </si>
  <si>
    <t>PDT</t>
  </si>
  <si>
    <t>PDR</t>
  </si>
  <si>
    <t>Công ty Cổ phần Phát triển Bất động sản Phát Đạt</t>
  </si>
  <si>
    <t>PDN</t>
  </si>
  <si>
    <t>Công ty Cổ phần Cảng Đồng Nai</t>
  </si>
  <si>
    <t>PDC</t>
  </si>
  <si>
    <t>Công ty Cổ phần Du lịch Dầu khí Phương Đông</t>
  </si>
  <si>
    <t>PDB</t>
  </si>
  <si>
    <t>Công ty Cổ phần Tập đoàn Đầu tư DIN Capital</t>
  </si>
  <si>
    <t>PCT</t>
  </si>
  <si>
    <t>Công ty Cổ phần Vận tải Biển Global Pacific</t>
  </si>
  <si>
    <t>PCN</t>
  </si>
  <si>
    <t>Công ty Cổ phần Hóa phẩm dầu khí DMC - Miền Bắc</t>
  </si>
  <si>
    <t>PCM</t>
  </si>
  <si>
    <t>Công ty Cổ phần Vật liệu Xây dựng Bưu điện</t>
  </si>
  <si>
    <t>PCH</t>
  </si>
  <si>
    <t>Công ty Cổ phần Nhựa Picomat</t>
  </si>
  <si>
    <t>PCG</t>
  </si>
  <si>
    <t>Công ty Cổ phần Đầu tư Phát triển Gas Đô thị</t>
  </si>
  <si>
    <t>PCF</t>
  </si>
  <si>
    <t>Công ty Cổ phần Cà phê PETEC</t>
  </si>
  <si>
    <t>PCE</t>
  </si>
  <si>
    <t>Công ty Cổ phần Phân bón và hóa chất dầu khí Miền Trung</t>
  </si>
  <si>
    <t>PCC</t>
  </si>
  <si>
    <t>Công ty Cổ phần Tập đoàn Xây lắp 1 - Petrolimex</t>
  </si>
  <si>
    <t>PC1</t>
  </si>
  <si>
    <t>Công ty Cổ phần Tập đoàn PC1</t>
  </si>
  <si>
    <t>PBT</t>
  </si>
  <si>
    <t>Công ty Cổ Phần Bao bì và Thương mại Dầu khí Bình Sơn</t>
  </si>
  <si>
    <t>PBP</t>
  </si>
  <si>
    <t>Công ty Cổ phần Bao bì Dầu khí Việt Nam</t>
  </si>
  <si>
    <t>PBC</t>
  </si>
  <si>
    <t>Công ty Cổ phần Dược Phẩm Trung ương 1 - Pharbaco</t>
  </si>
  <si>
    <t>PAT</t>
  </si>
  <si>
    <t>Công ty Cổ phần Phốt pho Apatit Việt Nam</t>
  </si>
  <si>
    <t>PAS</t>
  </si>
  <si>
    <t>Công ty Cổ phần Quốc tế Phương Anh</t>
  </si>
  <si>
    <t>PAP</t>
  </si>
  <si>
    <t>Công ty Cổ phần Dầu khí đầu tư khai thác Cảng Phước An</t>
  </si>
  <si>
    <t>PAN</t>
  </si>
  <si>
    <t>Công ty Cổ phần Tập đoàn PAN</t>
  </si>
  <si>
    <t>PAI</t>
  </si>
  <si>
    <t>Công ty Cổ phần Công nghê thông tin, Viễn thông và Tự động hóa Dầu khí</t>
  </si>
  <si>
    <t>PAC</t>
  </si>
  <si>
    <t>Công ty Cổ phần Pin Ắc quy Miền Nam</t>
  </si>
  <si>
    <t>ORS</t>
  </si>
  <si>
    <t>Công ty Cổ phần Chứng khoán Tiên Phong</t>
  </si>
  <si>
    <t>OPC</t>
  </si>
  <si>
    <t>Công ty Cổ phần Dược Phẩm OPC</t>
  </si>
  <si>
    <t>ONW</t>
  </si>
  <si>
    <t>Công ty Cổ phần Dịch vụ Một Thế giới</t>
  </si>
  <si>
    <t>ONE</t>
  </si>
  <si>
    <t>Công ty Cổ phần Công nghệ ONE</t>
  </si>
  <si>
    <t>OIL</t>
  </si>
  <si>
    <t>Tổng Công ty Dầu Việt Nam - Công ty Cổ phần</t>
  </si>
  <si>
    <t>OGC</t>
  </si>
  <si>
    <t>Công ty Cổ phần Tập đoàn Đại Dương</t>
  </si>
  <si>
    <t>ODE</t>
  </si>
  <si>
    <t>Công ty cổ phần Tập đoàn Truyền thông và Giải trí ODE</t>
  </si>
  <si>
    <t>OCH</t>
  </si>
  <si>
    <t>Công ty Cổ phần One Capital Hospitality</t>
  </si>
  <si>
    <t>OCB</t>
  </si>
  <si>
    <t>Ngân hàng Thương mại Cổ phần Phương Đông</t>
  </si>
  <si>
    <t>NXT</t>
  </si>
  <si>
    <t>Công ty Cổ phần Sản xuất và Cung ứng vật liệu xây dựng Kon Tum</t>
  </si>
  <si>
    <t>NWT</t>
  </si>
  <si>
    <t>Công ty Cổ phần Vận tải Newway</t>
  </si>
  <si>
    <t>NVT</t>
  </si>
  <si>
    <t>Công ty Cổ phần Bất động sản Du lịch Ninh Vân Bay</t>
  </si>
  <si>
    <t>NVP</t>
  </si>
  <si>
    <t>Công ty Cổ phần Nước sạch Vĩnh Phúc</t>
  </si>
  <si>
    <t>NVL</t>
  </si>
  <si>
    <t>Công ty Cổ phần Tập đoàn Đầu tư Địa ốc No Va</t>
  </si>
  <si>
    <t>NVB</t>
  </si>
  <si>
    <t>Ngân hàng Thương mại Cổ phần Quốc Dân</t>
  </si>
  <si>
    <t>NUE</t>
  </si>
  <si>
    <t>Công ty Cổ phần Môi trường Đô thị Nha Trang</t>
  </si>
  <si>
    <t>NTW</t>
  </si>
  <si>
    <t>Công ty Cổ phần Cấp nước Nhơn Trạch</t>
  </si>
  <si>
    <t>NTT</t>
  </si>
  <si>
    <t>Công ty Cổ phần Dệt - May Nha Trang</t>
  </si>
  <si>
    <t>NTP</t>
  </si>
  <si>
    <t>Công ty Cổ phần Nhựa Thiếu niên Tiền Phong</t>
  </si>
  <si>
    <t>NTL</t>
  </si>
  <si>
    <t>Công ty Cổ phần Phát triển Đô thị Từ Liêm</t>
  </si>
  <si>
    <t>NTH</t>
  </si>
  <si>
    <t>Công ty Cổ phần Thủy điện Nước Trong</t>
  </si>
  <si>
    <t>NTF</t>
  </si>
  <si>
    <t>Công ty Cổ phần Dược - Vật tư y tế Nghệ An</t>
  </si>
  <si>
    <t>NTC</t>
  </si>
  <si>
    <t>Công ty Cổ phần Khu Công nghiệp Nam Tân Uyên</t>
  </si>
  <si>
    <t>NTB</t>
  </si>
  <si>
    <t>Công ty Cổ phần Đầu tư Xây dựng và Khai thác Công trình giao thông 584</t>
  </si>
  <si>
    <t>NT2</t>
  </si>
  <si>
    <t>Công ty Cổ phần Điện lực Dầu khí Nhơn Trạch 2</t>
  </si>
  <si>
    <t>NST</t>
  </si>
  <si>
    <t>Công ty Cổ phần Ngân Sơn</t>
  </si>
  <si>
    <t>NSS</t>
  </si>
  <si>
    <t>Công ty Cổ phần Nông súc sản Đồng Nai</t>
  </si>
  <si>
    <t>NSL</t>
  </si>
  <si>
    <t>Công ty Cổ phần Cấp nước Sơn La</t>
  </si>
  <si>
    <t>NSH</t>
  </si>
  <si>
    <t>Công ty Cổ phần Tập đoàn Nhôm Sông Hồng Shalumi</t>
  </si>
  <si>
    <t>NSG</t>
  </si>
  <si>
    <t>Công ty Cổ phần Nhựa Sài Gòn</t>
  </si>
  <si>
    <t>NSC</t>
  </si>
  <si>
    <t>Công ty Cổ phần Tập đoàn Giống cây trồng Việt Nam</t>
  </si>
  <si>
    <t>NS3</t>
  </si>
  <si>
    <t>Công ty Cổ phần Sản xuất Kinh doanh Nước sạch số 3 Hà Nội</t>
  </si>
  <si>
    <t>NS2</t>
  </si>
  <si>
    <t>Công ty Cổ phần Nước sạch số 2 Hà Nội</t>
  </si>
  <si>
    <t>NRC</t>
  </si>
  <si>
    <t>Công ty Cổ phần Tập đoàn NRC</t>
  </si>
  <si>
    <t>NQT</t>
  </si>
  <si>
    <t>Công ty Cổ phần Nước sạch Quảng Trị</t>
  </si>
  <si>
    <t>NQN</t>
  </si>
  <si>
    <t>Công ty Cổ phần Nước sạch Quảng Ninh</t>
  </si>
  <si>
    <t>NQB</t>
  </si>
  <si>
    <t>Công ty Cổ phần Cấp nước Quảng Bình</t>
  </si>
  <si>
    <t>NOS</t>
  </si>
  <si>
    <t>Công ty Cổ phần Vận tải Biển và Thương mại Phương Đông</t>
  </si>
  <si>
    <t>NO1</t>
  </si>
  <si>
    <t>Công ty Cổ phần Tâp đoàn 911</t>
  </si>
  <si>
    <t>NNT</t>
  </si>
  <si>
    <t>Công ty Cổ phần Cấp nước Ninh Thuận</t>
  </si>
  <si>
    <t>NNQ</t>
  </si>
  <si>
    <t>NNG</t>
  </si>
  <si>
    <t>Công ty Cổ phần Công nghiệp - Dịch vụ - Thương mại Ngọc Nghĩa</t>
  </si>
  <si>
    <t>NNC</t>
  </si>
  <si>
    <t>Công ty Cổ phần Đá Núi Nhỏ</t>
  </si>
  <si>
    <t>NLS</t>
  </si>
  <si>
    <t>Công ty Cổ phần Cấp thoát nước Lạng Sơn</t>
  </si>
  <si>
    <t>NLG</t>
  </si>
  <si>
    <t>Công ty Cổ phần Đầu tư Nam Long</t>
  </si>
  <si>
    <t>NKG</t>
  </si>
  <si>
    <t>Công ty Cổ phần Thép Nam Kim</t>
  </si>
  <si>
    <t>NJC</t>
  </si>
  <si>
    <t>Công ty Cổ phần May Nam Định</t>
  </si>
  <si>
    <t>NHV</t>
  </si>
  <si>
    <t>Công ty Cổ phần Sức khỏe Hồi sinh Việt Nam</t>
  </si>
  <si>
    <t>NHT</t>
  </si>
  <si>
    <t>Công ty Cổ phần Sản xuất và Thương mại Nam Hoa</t>
  </si>
  <si>
    <t>NHP</t>
  </si>
  <si>
    <t>Công ty Cổ phần Sản xuất Xuất nhập khẩu NHP</t>
  </si>
  <si>
    <t>NHH</t>
  </si>
  <si>
    <t>Công ty Cổ phần Nhựa Hà Nội</t>
  </si>
  <si>
    <t>NHC</t>
  </si>
  <si>
    <t>Công ty Cổ phần Gạch ngói Nhị Hiệp</t>
  </si>
  <si>
    <t>NHA</t>
  </si>
  <si>
    <t>Tổng Công ty Đầu tư Phát triển Nhà và Đô thị Nam Hà Nội</t>
  </si>
  <si>
    <t>NGC</t>
  </si>
  <si>
    <t>Công ty Cổ phần Chế biến Thủy sản Xuất khẩu Ngô Quyền</t>
  </si>
  <si>
    <t>NFC</t>
  </si>
  <si>
    <t>Công ty Cổ phần Phân lân Ninh Bình</t>
  </si>
  <si>
    <t>NET</t>
  </si>
  <si>
    <t>Công ty Cổ phần Bột giặt Net</t>
  </si>
  <si>
    <t>NEM</t>
  </si>
  <si>
    <t>Công ty Cổ phần Thiết bị Điện Miền Bắc</t>
  </si>
  <si>
    <t>NED</t>
  </si>
  <si>
    <t>Công ty Cổ phần Đầu tư và Phát triển Điện Tây Bắc</t>
  </si>
  <si>
    <t>NDX</t>
  </si>
  <si>
    <t>Công ty Cổ phần Xây lắp Phát triển Nhà Đà Nẵng</t>
  </si>
  <si>
    <t>NDW</t>
  </si>
  <si>
    <t>Công ty Cổ phần Cấp nước Nam Định</t>
  </si>
  <si>
    <t>NDT</t>
  </si>
  <si>
    <t>Tổng Công ty Cổ phần Dệt may Nam Định</t>
  </si>
  <si>
    <t>NDP</t>
  </si>
  <si>
    <t>Công ty Cổ phần Dược phẩm 2/9</t>
  </si>
  <si>
    <t>NDN</t>
  </si>
  <si>
    <t>Công ty Cổ phần Đầu tư Phát triển Nhà Đà Nẵng</t>
  </si>
  <si>
    <t>NDF</t>
  </si>
  <si>
    <t>Công ty Cổ phần Chế biến thực phẩm nông sản xuất khẩu Nam Định</t>
  </si>
  <si>
    <t>NDC</t>
  </si>
  <si>
    <t>Công ty Cổ phần Nam Dược</t>
  </si>
  <si>
    <t>ND2</t>
  </si>
  <si>
    <t>Công ty Cổ phần Đầu tư và Phát triển điện Miền Bắc 2</t>
  </si>
  <si>
    <t>NCT</t>
  </si>
  <si>
    <t>Công ty Cổ phần Dịch vụ Hàng hóa Nội Bài</t>
  </si>
  <si>
    <t>NCS</t>
  </si>
  <si>
    <t>Công ty Cổ phần Suất ăn Hàng không Nội Bài</t>
  </si>
  <si>
    <t>NCG</t>
  </si>
  <si>
    <t>Công ty Cổ phần Tập đoàn Nova Consumer</t>
  </si>
  <si>
    <t>NBW</t>
  </si>
  <si>
    <t>Công ty Cổ phần Cấp nước Nhà Bè</t>
  </si>
  <si>
    <t>NBT</t>
  </si>
  <si>
    <t>Công ty Cổ phần Cấp thoát nước Bến Tre</t>
  </si>
  <si>
    <t>NBP</t>
  </si>
  <si>
    <t>Công ty Cổ phần Nhiệt Điện Ninh Bình</t>
  </si>
  <si>
    <t>NBE</t>
  </si>
  <si>
    <t>Công ty Cổ phần Sách và Thiết bị Giáo dục Miền Bắc</t>
  </si>
  <si>
    <t>NBC</t>
  </si>
  <si>
    <t>Công ty Cổ phần Than Núi Béo - Vinacomin</t>
  </si>
  <si>
    <t>NBB</t>
  </si>
  <si>
    <t>Công ty Cổ phần Đầu tư Năm Bảy Bảy</t>
  </si>
  <si>
    <t>NAW</t>
  </si>
  <si>
    <t>Công ty Cổ phần Cấp nước Nghệ An</t>
  </si>
  <si>
    <t>NAV</t>
  </si>
  <si>
    <t>Công ty Cổ phần Nam Việt</t>
  </si>
  <si>
    <t>NAU</t>
  </si>
  <si>
    <t>Công ty Cổ phần Môi trường và Công trình Đô thị Nghệ An</t>
  </si>
  <si>
    <t>NAS</t>
  </si>
  <si>
    <t>Công ty Cổ phần Dịch vụ Hàng không Sân bay Việt Nam</t>
  </si>
  <si>
    <t>NAP</t>
  </si>
  <si>
    <t>Công ty Cổ phần Cảng Nghệ Tĩnh</t>
  </si>
  <si>
    <t>NAG</t>
  </si>
  <si>
    <t>Công ty Cổ phần Tập đoàn Nagakawa</t>
  </si>
  <si>
    <t>NAF</t>
  </si>
  <si>
    <t>Công ty Cổ phần Nafoods Group</t>
  </si>
  <si>
    <t>NAC</t>
  </si>
  <si>
    <t>Công ty Cổ phần Tư vấn Xây dựng Tổng hợp</t>
  </si>
  <si>
    <t>NAB</t>
  </si>
  <si>
    <t>Ngân hàng Thương mại Cổ phần Nam Á</t>
  </si>
  <si>
    <t>MZG</t>
  </si>
  <si>
    <t>Công ty Cổ Phần Miza</t>
  </si>
  <si>
    <t>MXC</t>
  </si>
  <si>
    <t>MWG</t>
  </si>
  <si>
    <t>Công ty Cổ phần Đầu tư Thế Giới Di Động</t>
  </si>
  <si>
    <t>MVN</t>
  </si>
  <si>
    <t>Tổng Công ty Hàng hải Việt Nam - CTCP</t>
  </si>
  <si>
    <t>MVC</t>
  </si>
  <si>
    <t>Công ty Cổ phần Vật liệu và Xây dựng Bình Dương</t>
  </si>
  <si>
    <t>MVB</t>
  </si>
  <si>
    <t>Tổng Công ty Công nghiệp mỏ Việt Bắc TKV - Công ty Cổ phần</t>
  </si>
  <si>
    <t>MTX</t>
  </si>
  <si>
    <t>Công ty Cổ phần Công trình Đô thị Gò Công</t>
  </si>
  <si>
    <t>MTV</t>
  </si>
  <si>
    <t>Công ty Cổ phần Dịch vụ Môi trường và Công trình Đô thị Vũng Tàu</t>
  </si>
  <si>
    <t>MTS</t>
  </si>
  <si>
    <t>Công ty Cổ phần Vật tư - TKV</t>
  </si>
  <si>
    <t>MTP</t>
  </si>
  <si>
    <t>Công ty Cổ phần Dược Medipharco</t>
  </si>
  <si>
    <t>MTL</t>
  </si>
  <si>
    <t>Công ty Cổ phần Dịch vụ Môi trường Đô thị Từ Liêm</t>
  </si>
  <si>
    <t>MTH</t>
  </si>
  <si>
    <t>Công ty Cổ phần Môi trường Đô thị Hà Đông</t>
  </si>
  <si>
    <t>MTG</t>
  </si>
  <si>
    <t>Công ty Cổ phần MT Gas</t>
  </si>
  <si>
    <t>MTC</t>
  </si>
  <si>
    <t>Công ty Cổ phần Dịch vụ Du lịch Mỹ Trà</t>
  </si>
  <si>
    <t>MTB</t>
  </si>
  <si>
    <t>Công ty Cổ phần Môi trường và Công trình đô thị tỉnh Thái Bình</t>
  </si>
  <si>
    <t>MTA</t>
  </si>
  <si>
    <t>Tổng Công ty Khoáng sản và Thương mại Hà Tĩnh - Công ty Cổ phần</t>
  </si>
  <si>
    <t>MST</t>
  </si>
  <si>
    <t>Công ty Cổ phần Đầu tư MST</t>
  </si>
  <si>
    <t>MSR</t>
  </si>
  <si>
    <t>Công ty Cổ phần Masan High-Tech Materials</t>
  </si>
  <si>
    <t>MSN</t>
  </si>
  <si>
    <t>Công ty Cổ phần Tập đoàn Masan</t>
  </si>
  <si>
    <t>MSH</t>
  </si>
  <si>
    <t>Công ty Cổ phần May Sông Hồng</t>
  </si>
  <si>
    <t>MSB</t>
  </si>
  <si>
    <t>Ngân hàng Thương mại Cổ phần Hàng Hải Việt Nam</t>
  </si>
  <si>
    <t>MRF</t>
  </si>
  <si>
    <t>Công ty Cổ phần MERUFA</t>
  </si>
  <si>
    <t>MQN</t>
  </si>
  <si>
    <t>Công ty Cổ phần Môi trường đô thị Quảng Ngãi</t>
  </si>
  <si>
    <t>MQB</t>
  </si>
  <si>
    <t>Công ty Cổ phần Môi trường và Phát triển đô thị Quảng Bình</t>
  </si>
  <si>
    <t>MPY</t>
  </si>
  <si>
    <t>Công ty Cổ phần Môi trường đô thị Phú Yên</t>
  </si>
  <si>
    <t>MPT</t>
  </si>
  <si>
    <t>Công ty Cổ phần Tập đoàn MPT</t>
  </si>
  <si>
    <t>MPC</t>
  </si>
  <si>
    <t>Công ty Cổ phần Tập đoàn Thủy sản Minh Phú</t>
  </si>
  <si>
    <t>MND</t>
  </si>
  <si>
    <t>Công ty Cổ phần Môi trường Nam Định</t>
  </si>
  <si>
    <t>MNB</t>
  </si>
  <si>
    <t>Tổng Công ty May Nhà Bè - Công ty Cổ phần</t>
  </si>
  <si>
    <t>MML</t>
  </si>
  <si>
    <t>Công ty Cổ phần Masan MEATLife</t>
  </si>
  <si>
    <t>MLS</t>
  </si>
  <si>
    <t>Công ty Cổ phần Chăn nuôi - Mitraco</t>
  </si>
  <si>
    <t>MLC</t>
  </si>
  <si>
    <t>Công ty Cổ phần Môi trường Đô thị Tỉnh Lào Cai</t>
  </si>
  <si>
    <t>MKV</t>
  </si>
  <si>
    <t>Công ty Cổ phần Dược Thú Y Cai Lậy</t>
  </si>
  <si>
    <t>MKP</t>
  </si>
  <si>
    <t>Công ty Cổ phần Hóa - Dược phẩm Mekophar</t>
  </si>
  <si>
    <t>MIM</t>
  </si>
  <si>
    <t>Công ty Cổ phần Khoáng sản và Cơ khí</t>
  </si>
  <si>
    <t>MIG</t>
  </si>
  <si>
    <t>Tổng Công ty Cổ phần Bảo hiểm Quân đội</t>
  </si>
  <si>
    <t>MIE</t>
  </si>
  <si>
    <t>Tổng Công ty Máy và Thiết bị Công nghiệp - CTCP</t>
  </si>
  <si>
    <t>MIC</t>
  </si>
  <si>
    <t>Công ty Cổ phần Kỹ nghệ Khoáng sản Quảng Nam</t>
  </si>
  <si>
    <t>MHL</t>
  </si>
  <si>
    <t>Công ty Cổ phần Minh Hữu Liên</t>
  </si>
  <si>
    <t>MHC</t>
  </si>
  <si>
    <t>Công ty Cổ phần MHC</t>
  </si>
  <si>
    <t>MH3</t>
  </si>
  <si>
    <t>Công ty Cổ phần Khu công nghiệp Cao su Bình Long</t>
  </si>
  <si>
    <t>MGR</t>
  </si>
  <si>
    <t>Công ty cổ phần Tập đoàn MGROUP</t>
  </si>
  <si>
    <t>MGG</t>
  </si>
  <si>
    <t>Tổng Công ty Đức Giang - Công ty Cổ phần</t>
  </si>
  <si>
    <t>MGC</t>
  </si>
  <si>
    <t>Công ty Cổ phần Địa chất mỏ - TKV</t>
  </si>
  <si>
    <t>MFS</t>
  </si>
  <si>
    <t>Công ty Cổ phần Dịch vụ kỹ thuật Mobifone</t>
  </si>
  <si>
    <t>MES</t>
  </si>
  <si>
    <t>Công ty Cổ phần Cơ điện Công trình</t>
  </si>
  <si>
    <t>MEL</t>
  </si>
  <si>
    <t>Công ty Cổ phần Thép Mê Lin</t>
  </si>
  <si>
    <t>MEG</t>
  </si>
  <si>
    <t>Công ty Cổ phần Megram</t>
  </si>
  <si>
    <t>MEF</t>
  </si>
  <si>
    <t>Công ty Cổ phần MEINFA</t>
  </si>
  <si>
    <t>MED</t>
  </si>
  <si>
    <t>Công ty Cổ phần Dược Trung ương Mediplantex</t>
  </si>
  <si>
    <t>MEC</t>
  </si>
  <si>
    <t>Công ty Cổ phần Cơ khí - Lắp máy Sông Đà</t>
  </si>
  <si>
    <t>MDG</t>
  </si>
  <si>
    <t>Công ty Cổ phần Miền Đông</t>
  </si>
  <si>
    <t>MDF</t>
  </si>
  <si>
    <t>Công ty Cổ phần Gỗ MDF VRG - Quảng Trị</t>
  </si>
  <si>
    <t>MDC</t>
  </si>
  <si>
    <t>Công ty Cổ phần Than Mông Dương - Vinacomin</t>
  </si>
  <si>
    <t>MDA</t>
  </si>
  <si>
    <t>Công ty Cổ phần Môi trường Đô thị Đông Anh</t>
  </si>
  <si>
    <t>MCP</t>
  </si>
  <si>
    <t>Công ty Cổ phần In và Bao bì Mỹ Châu</t>
  </si>
  <si>
    <t>MCO</t>
  </si>
  <si>
    <t>Công ty Cổ phần Đầu tư và Xây dựng BDC Việt Nam</t>
  </si>
  <si>
    <t>MCM</t>
  </si>
  <si>
    <t>Công ty Cổ phần Giống bò sữa Mộc Châu</t>
  </si>
  <si>
    <t>MCI</t>
  </si>
  <si>
    <t>Công ty Cổ phần Đầu tư Xây dựng và Phát triển Vật liệu IDICO</t>
  </si>
  <si>
    <t>MCH</t>
  </si>
  <si>
    <t>Công ty Cổ phần Hàng Tiêu Dùng MaSan</t>
  </si>
  <si>
    <t>MCG</t>
  </si>
  <si>
    <t>Công ty Cổ phần Năng lượng và Bất động sản MCG</t>
  </si>
  <si>
    <t>MCF</t>
  </si>
  <si>
    <t>Công ty Cổ phần Xây lắp Cơ khí và Lương thực Thực phẩm</t>
  </si>
  <si>
    <t>MCD</t>
  </si>
  <si>
    <t>Công ty Cổ phần Môi trường và Công trình Đô thị Đông Hà</t>
  </si>
  <si>
    <t>MCC</t>
  </si>
  <si>
    <t>Công ty Cổ phần Gạch ngói cao cấp</t>
  </si>
  <si>
    <t>MC3</t>
  </si>
  <si>
    <t>Công ty Cổ phần Khoáng sản 3 - Vimico</t>
  </si>
  <si>
    <t>MBT</t>
  </si>
  <si>
    <t>Công ty Cổ phần Bất động sản cho thuê Minh Bảo Tín</t>
  </si>
  <si>
    <t>MBS</t>
  </si>
  <si>
    <t>Công ty Cổ phần Chứng khoán MB</t>
  </si>
  <si>
    <t>MBN</t>
  </si>
  <si>
    <t>Công ty Cổ phần Môi trường và Công trình đô thị Bắc Ninh</t>
  </si>
  <si>
    <t>MBG</t>
  </si>
  <si>
    <t>Công ty Cổ phần Tập đoàn MBG</t>
  </si>
  <si>
    <t>MBB</t>
  </si>
  <si>
    <t>Ngân hàng Thương mại Cổ phần Quân đội</t>
  </si>
  <si>
    <t>MAS</t>
  </si>
  <si>
    <t>Công ty cổ phần Dịch vụ Hàng Không Sân Bay Đà Nẵng</t>
  </si>
  <si>
    <t>MAC</t>
  </si>
  <si>
    <t>Công ty Cổ phần Tập đoàn Macstar</t>
  </si>
  <si>
    <t>MA1</t>
  </si>
  <si>
    <t>Công ty Cổ phần Thiết bị</t>
  </si>
  <si>
    <t>M10</t>
  </si>
  <si>
    <t>Tổng công ty May 10 - Công ty Cổ phần</t>
  </si>
  <si>
    <t>LYF</t>
  </si>
  <si>
    <t>Công ty Cổ phần Lương Thực Lương Yên</t>
  </si>
  <si>
    <t>LWS</t>
  </si>
  <si>
    <t>Công ty Cổ phần Cấp nước Tỉnh Lào Cai</t>
  </si>
  <si>
    <t>LUT</t>
  </si>
  <si>
    <t>Công ty Cổ phần Đầu tư Xây dựng Lương Tài</t>
  </si>
  <si>
    <t>LTG</t>
  </si>
  <si>
    <t>Công ty Cổ phần Tập đoàn Lộc Trời</t>
  </si>
  <si>
    <t>LTC</t>
  </si>
  <si>
    <t>Công ty Cổ phần Điện nhẹ Viễn Thông</t>
  </si>
  <si>
    <t>LSS</t>
  </si>
  <si>
    <t>Công ty Cổ phần Mía đường Lam Sơn</t>
  </si>
  <si>
    <t>LSG</t>
  </si>
  <si>
    <t>Công ty Cổ phần Bất động sản Sài Gòn Vi na</t>
  </si>
  <si>
    <t>LQN</t>
  </si>
  <si>
    <t>Công ty Cổ phần Licogi Quảng Ngãi</t>
  </si>
  <si>
    <t>LPT</t>
  </si>
  <si>
    <t>Công ty Cổ phần Thương mại và Sản xuất Lập Phương Thành</t>
  </si>
  <si>
    <t>LPB</t>
  </si>
  <si>
    <t>Ngân hàng Thương mại Cổ phần Lộc Phát Việt Nam</t>
  </si>
  <si>
    <t>LO5</t>
  </si>
  <si>
    <t>Công ty Cổ phần Lilama 5</t>
  </si>
  <si>
    <t>LNC</t>
  </si>
  <si>
    <t>Công ty Cổ phần Lệ Ninh</t>
  </si>
  <si>
    <t>LMI</t>
  </si>
  <si>
    <t>Công ty Cổ phần Đầu tư Xây dựng Lắp máy IDICO</t>
  </si>
  <si>
    <t>LMH</t>
  </si>
  <si>
    <t>Công ty Cổ phần Quốc Tế Holding</t>
  </si>
  <si>
    <t>LMC</t>
  </si>
  <si>
    <t>Công ty Cổ phần Long Beach LMC</t>
  </si>
  <si>
    <t>LM8</t>
  </si>
  <si>
    <t>Công ty Cổ phần Lilama 18</t>
  </si>
  <si>
    <t>LM7</t>
  </si>
  <si>
    <t>Công ty Cổ phần Lilama 7</t>
  </si>
  <si>
    <t>LM3</t>
  </si>
  <si>
    <t>Công ty Cổ phần Lilama 3</t>
  </si>
  <si>
    <t>LLM</t>
  </si>
  <si>
    <t>Tổng Công ty lắp máy Việt Nam - Công ty Cổ phần</t>
  </si>
  <si>
    <t>LKW</t>
  </si>
  <si>
    <t>Công ty Cổ phần Cấp nước Long Khánh</t>
  </si>
  <si>
    <t>LIX</t>
  </si>
  <si>
    <t>Công ty Cổ phần Bột Giặt LIX</t>
  </si>
  <si>
    <t>LIG</t>
  </si>
  <si>
    <t>Công ty Cổ phần Licogi 13</t>
  </si>
  <si>
    <t>LIC</t>
  </si>
  <si>
    <t>Tổng Công ty LICOGI - Công ty Cổ phần</t>
  </si>
  <si>
    <t>LHG</t>
  </si>
  <si>
    <t>Công ty Cổ phần Long Hậu</t>
  </si>
  <si>
    <t>LHC</t>
  </si>
  <si>
    <t>Công ty Cổ phần Đầu tư và Xây dựng Thủy lợi Lâm Đồng</t>
  </si>
  <si>
    <t>LGM</t>
  </si>
  <si>
    <t>Công ty Cổ phần Giày da và May mặc Xuất khẩu (Legamex)</t>
  </si>
  <si>
    <t>LGL</t>
  </si>
  <si>
    <t>Công ty Cổ phần Đầu tư và Phát triển Đô thị Long Giang</t>
  </si>
  <si>
    <t>LGC</t>
  </si>
  <si>
    <t>Công ty Cổ phần Đầu tư Cầu đường CII</t>
  </si>
  <si>
    <t>LG9</t>
  </si>
  <si>
    <t>Công ty Cổ phần Cơ giới và Xây lắp số 9</t>
  </si>
  <si>
    <t>LEC</t>
  </si>
  <si>
    <t>Công ty Cổ phần Bất động sản Điện lực Miền Trung</t>
  </si>
  <si>
    <t>LDW</t>
  </si>
  <si>
    <t>Công ty Cổ phần Cấp thoát nước Lâm Đồng</t>
  </si>
  <si>
    <t>LDP</t>
  </si>
  <si>
    <t>Công ty Cổ phần Dược Lâm Đồng - Ladophar</t>
  </si>
  <si>
    <t>LDG</t>
  </si>
  <si>
    <t>Công ty Cổ phần Đầu tư LDG</t>
  </si>
  <si>
    <t>LCW</t>
  </si>
  <si>
    <t>Công ty Cổ phần Nước sạch Lai Châu</t>
  </si>
  <si>
    <t>LCS</t>
  </si>
  <si>
    <t>Công ty Cổ phần Licogi 16.6</t>
  </si>
  <si>
    <t>LCM</t>
  </si>
  <si>
    <t>Công ty Cổ phần Khai thác và Chế biến Khoáng sản Lào Cai</t>
  </si>
  <si>
    <t>LCG</t>
  </si>
  <si>
    <t>Công ty Cổ phần Lizen</t>
  </si>
  <si>
    <t>LCD</t>
  </si>
  <si>
    <t>Công ty Cổ phần Lắp máy - Thí nghiệm cơ điện</t>
  </si>
  <si>
    <t>LCC</t>
  </si>
  <si>
    <t>Công ty Cổ phần Xi măng Hồng Phong</t>
  </si>
  <si>
    <t>LBM</t>
  </si>
  <si>
    <t>Công ty Cổ phần Khoáng sản và Vật liệu xây dựng Lâm Đồng</t>
  </si>
  <si>
    <t>LBE</t>
  </si>
  <si>
    <t>Công ty Cổ phần Thương mại và Dịch vụ LVA</t>
  </si>
  <si>
    <t>LBC</t>
  </si>
  <si>
    <t>Công ty Cổ phần Thương mại - Đầu tư Long Biên</t>
  </si>
  <si>
    <t>LAW</t>
  </si>
  <si>
    <t>Công ty Cổ phần Cấp thoát nước Long An</t>
  </si>
  <si>
    <t>LAS</t>
  </si>
  <si>
    <t>Công ty Cổ phần Supe Phốt phát và Hóa chất Lâm Thao</t>
  </si>
  <si>
    <t>LAI</t>
  </si>
  <si>
    <t>Công ty Cổ phần Đầu tư Xây dựng Long An IDICO</t>
  </si>
  <si>
    <t>LAF</t>
  </si>
  <si>
    <t>Công ty Cổ phần Chế biến Hàng Xuất khẩu Long An</t>
  </si>
  <si>
    <t>L63</t>
  </si>
  <si>
    <t>Công ty Cổ phần Lilama 69-3</t>
  </si>
  <si>
    <t>L62</t>
  </si>
  <si>
    <t>Công ty Cổ phần Lilama 69 - 2</t>
  </si>
  <si>
    <t>L61</t>
  </si>
  <si>
    <t>Công ty Cổ phần Lilama 69-1</t>
  </si>
  <si>
    <t>L45</t>
  </si>
  <si>
    <t>Công ty Cổ phần Lilama 45.1</t>
  </si>
  <si>
    <t>L44</t>
  </si>
  <si>
    <t>Công ty Cổ phần Lilama 45.4</t>
  </si>
  <si>
    <t>L43</t>
  </si>
  <si>
    <t>Công ty Cổ phần Lilama 45.3</t>
  </si>
  <si>
    <t>L40</t>
  </si>
  <si>
    <t>Công ty Cổ phần Đầu tư và Xây dựng 40</t>
  </si>
  <si>
    <t>L35</t>
  </si>
  <si>
    <t>Công ty Cổ phần Cơ khí Lắp máy Lilama</t>
  </si>
  <si>
    <t>L18</t>
  </si>
  <si>
    <t>Công ty Cổ phần Đầu tư và Xây dựng số 18</t>
  </si>
  <si>
    <t>L14</t>
  </si>
  <si>
    <t>Công ty Cổ phần Licogi 14</t>
  </si>
  <si>
    <t>L12</t>
  </si>
  <si>
    <t>Công ty Cổ phần Licogi 12</t>
  </si>
  <si>
    <t>L10</t>
  </si>
  <si>
    <t>Công ty Cổ phần Lilama 10</t>
  </si>
  <si>
    <t>KWA</t>
  </si>
  <si>
    <t>Công ty Cổ phần Cấp thoát nước và Môi trường Kiến Tường</t>
  </si>
  <si>
    <t>KVC</t>
  </si>
  <si>
    <t>Công ty Cổ phần Sản xuất Xuất nhập khẩu Inox Kim Vĩ</t>
  </si>
  <si>
    <t>KTW</t>
  </si>
  <si>
    <t>Công ty Cổ phần Cấp nước Kon Tum</t>
  </si>
  <si>
    <t>KTT</t>
  </si>
  <si>
    <t>Công ty Cổ phần Tập đoàn Đầu tư KTT</t>
  </si>
  <si>
    <t>KTS</t>
  </si>
  <si>
    <t>Công ty Cổ phần Đường Kon Tum</t>
  </si>
  <si>
    <t>KTL</t>
  </si>
  <si>
    <t>Công ty Cổ phần Kim khí Thăng Long</t>
  </si>
  <si>
    <t>KTC</t>
  </si>
  <si>
    <t>Công ty Cổ phần Thương mại Kiên Giang</t>
  </si>
  <si>
    <t>KSV</t>
  </si>
  <si>
    <t>Tổng Công ty Khoáng sản TKV - Công ty Cổ phần</t>
  </si>
  <si>
    <t>KST</t>
  </si>
  <si>
    <t>Công ty Cổ phần KASATI</t>
  </si>
  <si>
    <t>KSS</t>
  </si>
  <si>
    <t/>
  </si>
  <si>
    <t>KSQ</t>
  </si>
  <si>
    <t>Công ty Cổ phần CNC Capital Việt Nam</t>
  </si>
  <si>
    <t>KSH</t>
  </si>
  <si>
    <t>Công ty Cổ phần Damac GLS</t>
  </si>
  <si>
    <t>KSF</t>
  </si>
  <si>
    <t>Công ty Cổ phần Tập đoàn Sunshine</t>
  </si>
  <si>
    <t>KSD</t>
  </si>
  <si>
    <t>Công ty Cổ phần Đầu tư DNA</t>
  </si>
  <si>
    <t>KSB</t>
  </si>
  <si>
    <t>Công ty Cổ phần Khoáng sản và Xây dựng Bình Dương</t>
  </si>
  <si>
    <t>KPF</t>
  </si>
  <si>
    <t>Công ty Cổ phần Đầu tư Tài sản KOJI</t>
  </si>
  <si>
    <t>KOS</t>
  </si>
  <si>
    <t>Công ty Cổ phần KOSY</t>
  </si>
  <si>
    <t>KMT</t>
  </si>
  <si>
    <t>Công ty Cổ phần Kim khí Miền Trung</t>
  </si>
  <si>
    <t>KMR</t>
  </si>
  <si>
    <t>Công ty Cổ phần Mirae</t>
  </si>
  <si>
    <t>KLM</t>
  </si>
  <si>
    <t>Công ty Cổ phần Kim loại màu Nghệ Tĩnh</t>
  </si>
  <si>
    <t>KLF</t>
  </si>
  <si>
    <t>Công ty Cổ phần Đầu tư Thương mại và Xuất nhập khẩu CFS</t>
  </si>
  <si>
    <t>KLB</t>
  </si>
  <si>
    <t>Ngân hàng Thương mại Cổ phần Kiên Long</t>
  </si>
  <si>
    <t>KKC</t>
  </si>
  <si>
    <t>Công ty Cổ phần Tập đoàn Thành Thái</t>
  </si>
  <si>
    <t>KIP</t>
  </si>
  <si>
    <t>Công ty Cổ phần K.I.P Việt Nam</t>
  </si>
  <si>
    <t>KHW</t>
  </si>
  <si>
    <t>Công ty Cổ phần Cấp thoát nước Khánh Hòa</t>
  </si>
  <si>
    <t>KHS</t>
  </si>
  <si>
    <t>Công ty Cổ phần Kiên Hùng</t>
  </si>
  <si>
    <t>KHP</t>
  </si>
  <si>
    <t>Công ty Cổ phần Điện lực Khánh Hòa</t>
  </si>
  <si>
    <t>KHL</t>
  </si>
  <si>
    <t>Công ty Cổ phần Khoáng sản và Vật liệu Xây dựng Hưng Long</t>
  </si>
  <si>
    <t>KHG</t>
  </si>
  <si>
    <t>Công ty Cổ phần Tập đoàn Khải Hoàn Land</t>
  </si>
  <si>
    <t>KHD</t>
  </si>
  <si>
    <t>Công ty Cổ phần Khai thác, Chế biến Khoáng sản Hải Dương</t>
  </si>
  <si>
    <t>KHB</t>
  </si>
  <si>
    <t>Công ty Cổ phần Khoáng sản Hòa Bình</t>
  </si>
  <si>
    <t>KHA</t>
  </si>
  <si>
    <t>Công ty Cổ phần Đầu tư và Dịch vụ Khánh Hội</t>
  </si>
  <si>
    <t>KGM</t>
  </si>
  <si>
    <t>Công ty Cổ phần Xuất nhập khẩu Kiên Giang</t>
  </si>
  <si>
    <t>KDM</t>
  </si>
  <si>
    <t>Công ty Cổ phần Tập đoàn GCL</t>
  </si>
  <si>
    <t>KDH</t>
  </si>
  <si>
    <t>Công ty Cổ phần Đầu tư và Kinh doanh nhà Khang Điền</t>
  </si>
  <si>
    <t>KDC</t>
  </si>
  <si>
    <t>Công ty Cổ phần Tập đoàn KIDO</t>
  </si>
  <si>
    <t>KCE</t>
  </si>
  <si>
    <t>Công ty Cổ phần Bê tông Ly tâm Điện lực Khánh Hòa</t>
  </si>
  <si>
    <t>KCB</t>
  </si>
  <si>
    <t>Công ty Cổ phần Khoáng Sản và Luyện Kim Cao Bằng</t>
  </si>
  <si>
    <t>KBC</t>
  </si>
  <si>
    <t>Tổng Công ty Phát triển Đô thị Kinh Bắc</t>
  </si>
  <si>
    <t>KAC</t>
  </si>
  <si>
    <t>Công ty Cổ phần Đầu tư Địa ốc Khang An</t>
  </si>
  <si>
    <t>JVC</t>
  </si>
  <si>
    <t>Công ty Cổ phần Đầu tư Y tế - Dược phẩm Việt Nam</t>
  </si>
  <si>
    <t>JOS</t>
  </si>
  <si>
    <t>Công ty Cổ phần Chế biến Thủy sản Xuất khẩu Minh Hải</t>
  </si>
  <si>
    <t>IVS</t>
  </si>
  <si>
    <t>Công ty Cổ phần Chứng khoán Guotai Junan (Việt Nam)</t>
  </si>
  <si>
    <t>ITS</t>
  </si>
  <si>
    <t>Công ty Cổ phần Đầu tư, Thương mại và Dịch vụ - Vinacomin</t>
  </si>
  <si>
    <t>ITQ</t>
  </si>
  <si>
    <t>Công ty Cổ phần Tập đoàn Thiên Quang</t>
  </si>
  <si>
    <t>ITD</t>
  </si>
  <si>
    <t>Công ty Cổ phần Công nghệ ITD</t>
  </si>
  <si>
    <t>ITC</t>
  </si>
  <si>
    <t>Công ty Cổ phần Đầu tư - Kinh doanh nhà</t>
  </si>
  <si>
    <t>ITA</t>
  </si>
  <si>
    <t>Công ty Cổ phần Đầu tư và Công nghiệp Tân Tạo</t>
  </si>
  <si>
    <t>IST</t>
  </si>
  <si>
    <t>Công ty Cổ phần ICD Tân Cảng Sóng Thần</t>
  </si>
  <si>
    <t>ISH</t>
  </si>
  <si>
    <t>Công ty Cổ phần Thủy điện Srok Phu Miêng IDICO</t>
  </si>
  <si>
    <t>ISG</t>
  </si>
  <si>
    <t>Công ty Cổ phần Vận tải biển và Hợp tác lao động Quốc Tế</t>
  </si>
  <si>
    <t>IRC</t>
  </si>
  <si>
    <t>Công ty Cổ phần Cao su Công nghiệp</t>
  </si>
  <si>
    <t>IPH</t>
  </si>
  <si>
    <t>IPA</t>
  </si>
  <si>
    <t>Công ty Cổ phần Tập đoàn Đầu tư I.P.A</t>
  </si>
  <si>
    <t>INN</t>
  </si>
  <si>
    <t>Công ty Cổ phần Bao bì và In Nông nghiệp</t>
  </si>
  <si>
    <t>ING</t>
  </si>
  <si>
    <t>Công ty Cổ phần Đầu Tư Và Phát Triển Xây Dựng</t>
  </si>
  <si>
    <t>INC</t>
  </si>
  <si>
    <t>Công ty Cổ phần Tư vấn Đầu tư IDICO</t>
  </si>
  <si>
    <t>IN4</t>
  </si>
  <si>
    <t>Công ty Cổ phần In số 4</t>
  </si>
  <si>
    <t>IMP</t>
  </si>
  <si>
    <t>Công ty Cổ phần Dược phẩm IMEXPHARM</t>
  </si>
  <si>
    <t>IME</t>
  </si>
  <si>
    <t>Công ty Cổ phần Cơ khí và Xây lắp Công nghiệp</t>
  </si>
  <si>
    <t>ILS</t>
  </si>
  <si>
    <t>Công ty Cổ phần Đầu tư Thương mại và Dịch vụ Quốc tế</t>
  </si>
  <si>
    <t>ILC</t>
  </si>
  <si>
    <t>Công ty Cổ phần Hợp tác lao động với nước ngoài</t>
  </si>
  <si>
    <t>ILB</t>
  </si>
  <si>
    <t>Công ty Cổ phần ICD Tân Cảng - Long Bình</t>
  </si>
  <si>
    <t>ILA</t>
  </si>
  <si>
    <t>Công ty Cổ phần ILA</t>
  </si>
  <si>
    <t>IJC</t>
  </si>
  <si>
    <t>Công ty Cổ phần Phát triển Hạ tầng Kỹ thuật</t>
  </si>
  <si>
    <t>IHK</t>
  </si>
  <si>
    <t>Công ty Cổ phần In Hàng Không</t>
  </si>
  <si>
    <t>IFS</t>
  </si>
  <si>
    <t>Công ty Cổ phần Thực phẩm Quốc tế</t>
  </si>
  <si>
    <t>IDV</t>
  </si>
  <si>
    <t>Công ty Cổ phần Phát triển Hạ tầng Vĩnh Phúc</t>
  </si>
  <si>
    <t>IDP</t>
  </si>
  <si>
    <t>Công ty Cổ phần Sữa Quốc tế LOF</t>
  </si>
  <si>
    <t>IDJ</t>
  </si>
  <si>
    <t>Công ty Cổ phần Đầu tư IDJ Việt Nam</t>
  </si>
  <si>
    <t>IDI</t>
  </si>
  <si>
    <t>Công ty Cổ phần Đầu tư và Phát triển Đa Quốc Gia I.D.I</t>
  </si>
  <si>
    <t>IDC</t>
  </si>
  <si>
    <t>Tổng Công ty IDICO - CTCP</t>
  </si>
  <si>
    <t>ICT</t>
  </si>
  <si>
    <t>Công ty Cổ phần Viễn thông - Tin học Bưu điện</t>
  </si>
  <si>
    <t>ICN</t>
  </si>
  <si>
    <t>Công ty Cổ phần Đầu tư Xây dựng Dầu khí IDICO</t>
  </si>
  <si>
    <t>ICI</t>
  </si>
  <si>
    <t>Công ty Cổ phần Đầu tư và Xây dựng Công nghiệp</t>
  </si>
  <si>
    <t>ICG</t>
  </si>
  <si>
    <t>Công ty Cổ phần Xây dựng Sông Hồng</t>
  </si>
  <si>
    <t>ICF</t>
  </si>
  <si>
    <t>Công ty Cổ phần Đầu tư - Thương mại - Thuỷ sản</t>
  </si>
  <si>
    <t>ICC</t>
  </si>
  <si>
    <t>Công ty Cổ phần Xây dựng Công nghiệp</t>
  </si>
  <si>
    <t>IBN</t>
  </si>
  <si>
    <t>Công ty Cổ phần In báo Nghệ An</t>
  </si>
  <si>
    <t>IBD</t>
  </si>
  <si>
    <t>Công ty Cổ phần In Tổng hợp Bình Dương</t>
  </si>
  <si>
    <t>IBC</t>
  </si>
  <si>
    <t>Công ty Cổ phần Đầu tư APAX Holdings</t>
  </si>
  <si>
    <t>HWS</t>
  </si>
  <si>
    <t>Công ty Cổ phần Cấp nước Huế</t>
  </si>
  <si>
    <t>HVX</t>
  </si>
  <si>
    <t>Công ty Cổ phần Xi măng Vicem Hải Vân</t>
  </si>
  <si>
    <t>HVT</t>
  </si>
  <si>
    <t>Công ty Cổ phần Hóa chất Việt Trì</t>
  </si>
  <si>
    <t>HVN</t>
  </si>
  <si>
    <t>Tổng Công ty Hàng không Việt Nam - CTCP</t>
  </si>
  <si>
    <t>HVH</t>
  </si>
  <si>
    <t>Công ty Cổ phần Đầu tư và Công nghệ HVC</t>
  </si>
  <si>
    <t>HVG</t>
  </si>
  <si>
    <t>Công ty Cổ phần Hùng Vương</t>
  </si>
  <si>
    <t>HVA</t>
  </si>
  <si>
    <t>Công ty Cổ phần Đầu tư HVA</t>
  </si>
  <si>
    <t>HUX</t>
  </si>
  <si>
    <t>HUT</t>
  </si>
  <si>
    <t>Công ty Cổ phần Tasco</t>
  </si>
  <si>
    <t>HUG</t>
  </si>
  <si>
    <t>Tổng công ty May Hưng Yên - Công ty Cổ phần</t>
  </si>
  <si>
    <t>HUB</t>
  </si>
  <si>
    <t>Công ty Cổ phần Xây lắp Thừa Thiên Huế</t>
  </si>
  <si>
    <t>HU6</t>
  </si>
  <si>
    <t>Công ty Cổ phần Đầu tư Phát triển Nhà và Đô thị HUD6</t>
  </si>
  <si>
    <t>HU4</t>
  </si>
  <si>
    <t>Công ty Cổ phần Đầu tư và Xây dựng HUD4</t>
  </si>
  <si>
    <t>HU3</t>
  </si>
  <si>
    <t>Công ty Cổ phần Đầu tư và Xây dựng HUD3</t>
  </si>
  <si>
    <t>HU1</t>
  </si>
  <si>
    <t>Công ty Cổ phần Đầu tư và Xây dựng HUD1</t>
  </si>
  <si>
    <t>HTW</t>
  </si>
  <si>
    <t>Công ty Cổ phần Cấp nước Hà Tĩnh</t>
  </si>
  <si>
    <t>HTV</t>
  </si>
  <si>
    <t>Công ty Cổ phần Logistics Vicem</t>
  </si>
  <si>
    <t>HTT</t>
  </si>
  <si>
    <t>Công ty Cổ phần Thương mại Hà Tây</t>
  </si>
  <si>
    <t>HTR</t>
  </si>
  <si>
    <t>Công ty Cổ phần Đường sắt Hà Thái</t>
  </si>
  <si>
    <t>HTP</t>
  </si>
  <si>
    <t>Công ty Cổ phần In Sách Giáo Khoa Hòa Phát</t>
  </si>
  <si>
    <t>HTN</t>
  </si>
  <si>
    <t>Công ty Cổ phần Hưng Thịnh Incons</t>
  </si>
  <si>
    <t>HTM</t>
  </si>
  <si>
    <t>Tổng Công ty Thương mại Hà Nội – Công ty cổ phần</t>
  </si>
  <si>
    <t>HTL</t>
  </si>
  <si>
    <t>Công ty Cổ phần Kỹ thuật và Ô tô Trường Long</t>
  </si>
  <si>
    <t>HTK</t>
  </si>
  <si>
    <t>HTI</t>
  </si>
  <si>
    <t>Công ty Cổ phần Đầu tư Phát triển Hạ tầng IDICO</t>
  </si>
  <si>
    <t>HTH</t>
  </si>
  <si>
    <t>Công ty Cổ phần Hoa tiêu Hàng hải - TKV</t>
  </si>
  <si>
    <t>HTG</t>
  </si>
  <si>
    <t>Tổng Công ty Cổ phần Dệt may Hòa Thọ</t>
  </si>
  <si>
    <t>HTE</t>
  </si>
  <si>
    <t>Công ty Cổ phần Đầu tư Kinh doanh Điện lực Thành phố Hồ Chí Minh</t>
  </si>
  <si>
    <t>HTC</t>
  </si>
  <si>
    <t>Công ty Cổ phần Thương mại Hóc Môn</t>
  </si>
  <si>
    <t>HT1</t>
  </si>
  <si>
    <t>Công ty Cổ phần Xi măng VICEM Hà Tiên</t>
  </si>
  <si>
    <t>HSV</t>
  </si>
  <si>
    <t>Công ty Cổ phần Tập đoàn HSV Việt Nam</t>
  </si>
  <si>
    <t>HSP</t>
  </si>
  <si>
    <t>Công ty Cổ phần Sơn Tổng hợp Hà Nội</t>
  </si>
  <si>
    <t>HSM</t>
  </si>
  <si>
    <t>Tổng Công ty Cổ phần Dệt May Hà Nội</t>
  </si>
  <si>
    <t>HSL</t>
  </si>
  <si>
    <t>Công ty Cổ phần Đầu tư Phát triển Thực phẩm Hồng Hà</t>
  </si>
  <si>
    <t>HSI</t>
  </si>
  <si>
    <t>Công ty Cổ phần Vật tư Tổng hợp và Phân bón Hóa sinh</t>
  </si>
  <si>
    <t>HSG</t>
  </si>
  <si>
    <t>Công ty Cổ phần Tập đoàn Hoa Sen</t>
  </si>
  <si>
    <t>HSA</t>
  </si>
  <si>
    <t>Công ty Cổ phần HESTIA</t>
  </si>
  <si>
    <t>HRT</t>
  </si>
  <si>
    <t>Công ty Cổ phần Vận tải đường sắt Hà Nội</t>
  </si>
  <si>
    <t>HRC</t>
  </si>
  <si>
    <t>Công ty Cổ phần Cao su Hòa Bình</t>
  </si>
  <si>
    <t>HRB</t>
  </si>
  <si>
    <t>Công ty Cổ phần Harec Đầu tư và Thương Mại</t>
  </si>
  <si>
    <t>HQC</t>
  </si>
  <si>
    <t>Công ty Cổ phần Tư vấn - Thương mại - Dịch vụ Địa ốc Hoàng Quân</t>
  </si>
  <si>
    <t>HPX</t>
  </si>
  <si>
    <t>Công ty Cổ phần Đầu tư Hải Phát</t>
  </si>
  <si>
    <t>HPW</t>
  </si>
  <si>
    <t>Công ty Cổ phần Cấp nước Hải Phòng</t>
  </si>
  <si>
    <t>HPT</t>
  </si>
  <si>
    <t>Công ty Cổ phần Dịch vụ Công nghệ Tin học HPT</t>
  </si>
  <si>
    <t>HPP</t>
  </si>
  <si>
    <t>Công ty Cổ phần Sơn Hải Phòng</t>
  </si>
  <si>
    <t>HPO</t>
  </si>
  <si>
    <t>Công ty Cổ phần Công nghiệp Hapulico</t>
  </si>
  <si>
    <t>HPM</t>
  </si>
  <si>
    <t>Công ty Cổ phần Xây dựng Thương mại và Khoáng sản Hoàng Phúc</t>
  </si>
  <si>
    <t>HPI</t>
  </si>
  <si>
    <t>Công ty Cổ phần Khu công nghiệp Hiệp Phước</t>
  </si>
  <si>
    <t>HPH</t>
  </si>
  <si>
    <t>Công ty Cổ phần Hóa Chất Hưng Phát Hà Bắc</t>
  </si>
  <si>
    <t>Công ty Cổ phần Tập đoàn Hòa Phát</t>
  </si>
  <si>
    <t>HPD</t>
  </si>
  <si>
    <t>Công ty Cổ phần Thủy điện Đăk Đoa</t>
  </si>
  <si>
    <t>HPB</t>
  </si>
  <si>
    <t>Công ty Cổ phần Bao bì PP</t>
  </si>
  <si>
    <t>HOT</t>
  </si>
  <si>
    <t>Công ty Cổ phần Du lịch - Dịch vụ Hội An</t>
  </si>
  <si>
    <t>HOM</t>
  </si>
  <si>
    <t>Công ty Cổ phần Xi măng VICEM Hoàng Mai</t>
  </si>
  <si>
    <t>HNT</t>
  </si>
  <si>
    <t>Công ty Cổ phần Xe điện Hà Nội</t>
  </si>
  <si>
    <t>HNR</t>
  </si>
  <si>
    <t>Công ty Cổ phần Rượu và Nước Giải Khát Hà Nội</t>
  </si>
  <si>
    <t>HNP</t>
  </si>
  <si>
    <t>Công ty Cổ phần Hanel Xốp Nhựa</t>
  </si>
  <si>
    <t>HNM</t>
  </si>
  <si>
    <t>Công ty Cổ phần Sữa Hà Nội</t>
  </si>
  <si>
    <t>HNI</t>
  </si>
  <si>
    <t>Công ty Cổ phần May Hữu Nghị</t>
  </si>
  <si>
    <t>HNG</t>
  </si>
  <si>
    <t>Công ty Cổ phần Nông nghiệp Quốc tế Hoàng Anh Gia Lai</t>
  </si>
  <si>
    <t>HNF</t>
  </si>
  <si>
    <t>Công ty Cổ phần Thực phẩm Hữu Nghị</t>
  </si>
  <si>
    <t>HNE</t>
  </si>
  <si>
    <t>HND</t>
  </si>
  <si>
    <t>Công ty Cổ phần Nhiệt điện Hải Phòng</t>
  </si>
  <si>
    <t>HNB</t>
  </si>
  <si>
    <t>Công ty Cổ phần Bến xe Hà Nội</t>
  </si>
  <si>
    <t>HNA</t>
  </si>
  <si>
    <t>Công ty Cổ phần Thủy điện Hủa Na</t>
  </si>
  <si>
    <t>HMS</t>
  </si>
  <si>
    <t>Công ty Cổ phần Xây dựng Bảo tàng Hồ Chí Minh</t>
  </si>
  <si>
    <t>HMR</t>
  </si>
  <si>
    <t>Công ty Cổ phần Đá Hoàng Mai</t>
  </si>
  <si>
    <t>HMH</t>
  </si>
  <si>
    <t>Công ty Cổ phần Hải Minh</t>
  </si>
  <si>
    <t>HMG</t>
  </si>
  <si>
    <t>Công ty Cổ phần Kim Khí Hà Nội - VNSTEEL</t>
  </si>
  <si>
    <t>HMD</t>
  </si>
  <si>
    <t>Công ty Cổ phần Hóa chất Minh Đức</t>
  </si>
  <si>
    <t>HMC</t>
  </si>
  <si>
    <t>Công ty Cổ phần Kim khí Thành phố Hồ Chí Minh - VNSTEEL</t>
  </si>
  <si>
    <t>HLY</t>
  </si>
  <si>
    <t>Công ty Cổ phần Gốm xây dựng Yên Hưng</t>
  </si>
  <si>
    <t>HLT</t>
  </si>
  <si>
    <t>Công ty Cổ phần Dệt may Hoàng Thị Loan</t>
  </si>
  <si>
    <t>HLS</t>
  </si>
  <si>
    <t>Công ty Cổ phần Sứ kỹ thuật Hoàng Liên Sơn</t>
  </si>
  <si>
    <t>HLR</t>
  </si>
  <si>
    <t>Công ty Cổ phần Đường sắt Hà Lạng</t>
  </si>
  <si>
    <t>HLO</t>
  </si>
  <si>
    <t>Công Ty Cổ Phần Công Nghệ Ha Lô</t>
  </si>
  <si>
    <t>HLG</t>
  </si>
  <si>
    <t>Công ty Cổ phần Tập đoàn Hoàng Long</t>
  </si>
  <si>
    <t>HLE</t>
  </si>
  <si>
    <t>Công ty Cổ phần Điện chiếu sáng Hải Phòng</t>
  </si>
  <si>
    <t>HLD</t>
  </si>
  <si>
    <t>Công ty Cổ phần Đầu tư và Phát triển Bất động sản HUDLAND</t>
  </si>
  <si>
    <t>HLC</t>
  </si>
  <si>
    <t>Công ty Cổ phần Than Hà Lầm - Vinacomin</t>
  </si>
  <si>
    <t>HLB</t>
  </si>
  <si>
    <t>Công ty Cổ phần Bia và Nước giải khát Hạ Long</t>
  </si>
  <si>
    <t>HLA</t>
  </si>
  <si>
    <t>Công ty Cổ phần Hữu Liên Á Châu</t>
  </si>
  <si>
    <t>HKT</t>
  </si>
  <si>
    <t>Công ty Cổ phần Đầu tư QP Xanh</t>
  </si>
  <si>
    <t>HKP</t>
  </si>
  <si>
    <t>Công ty Cổ phần Bao bì Hà Tiên</t>
  </si>
  <si>
    <t>HKB</t>
  </si>
  <si>
    <t>Công ty Cổ phần Nông nghiệp và Thực phẩm Hà Nội - Kinh Bắc</t>
  </si>
  <si>
    <t>HJS</t>
  </si>
  <si>
    <t>Công ty Cổ phần Thủy điện Nậm Mu</t>
  </si>
  <si>
    <t>HJC</t>
  </si>
  <si>
    <t>Công ty Cổ phần Hoà Việt</t>
  </si>
  <si>
    <t>HIO</t>
  </si>
  <si>
    <t>Công ty Cổ Phần Helio Energy</t>
  </si>
  <si>
    <t>HII</t>
  </si>
  <si>
    <t>Công ty Cổ phần An Tiến Industries</t>
  </si>
  <si>
    <t>HIG</t>
  </si>
  <si>
    <t>Công ty Cổ phần Tập đoàn HIPT</t>
  </si>
  <si>
    <t>HID</t>
  </si>
  <si>
    <t>Công ty Cổ phần Halcom Vietnam</t>
  </si>
  <si>
    <t>HHV</t>
  </si>
  <si>
    <t>Công ty Cổ phần Đầu tư Hạ tầng Giao thông Đèo Cả</t>
  </si>
  <si>
    <t>HHS</t>
  </si>
  <si>
    <t>Công ty Cổ phần Đầu tư Dịch vụ Hoàng Huy</t>
  </si>
  <si>
    <t>HHR</t>
  </si>
  <si>
    <t>Công ty Cổ phần Đường sắt Hà Hải</t>
  </si>
  <si>
    <t>HHP</t>
  </si>
  <si>
    <t>Công ty Cổ phần HHP Global</t>
  </si>
  <si>
    <t>HHN</t>
  </si>
  <si>
    <t>Công ty Cổ phần Vận tải và Dịch vụ Hàng hóa Hà Nội</t>
  </si>
  <si>
    <t>HHG</t>
  </si>
  <si>
    <t>Công ty Cổ phần Hoàng Hà</t>
  </si>
  <si>
    <t>HHC</t>
  </si>
  <si>
    <t>Công ty Cổ phần Bánh kẹo Hải Hà</t>
  </si>
  <si>
    <t>HHB</t>
  </si>
  <si>
    <t>Công ty Cổ Phần Bia Hà Nội - Hồng Hà</t>
  </si>
  <si>
    <t>HGW</t>
  </si>
  <si>
    <t>Công ty Cổ phần Cấp thoát nước - Công trình Đô thị Hậu Giang</t>
  </si>
  <si>
    <t>HGT</t>
  </si>
  <si>
    <t>Công ty Cổ phần Du lịch Hương Giang</t>
  </si>
  <si>
    <t>HGR</t>
  </si>
  <si>
    <t>HGM</t>
  </si>
  <si>
    <t>Công ty Cổ phần Cơ khí và Khoáng sản Hà Giang</t>
  </si>
  <si>
    <t>HGC</t>
  </si>
  <si>
    <t>HGA</t>
  </si>
  <si>
    <t>HFX</t>
  </si>
  <si>
    <t>Công ty Cổ phần Sản xuất - Xuất nhập khẩu Thanh Hà</t>
  </si>
  <si>
    <t>HFC</t>
  </si>
  <si>
    <t>Công ty Cổ phần Xăng dầu HFC</t>
  </si>
  <si>
    <t>HFB</t>
  </si>
  <si>
    <t>Công ty Cổ phần Công trình Cầu phà Thành phố Hồ Chí Minh</t>
  </si>
  <si>
    <t>HEV</t>
  </si>
  <si>
    <t>Công ty Cổ phần Sách Đại học - Dạy nghề</t>
  </si>
  <si>
    <t>HES</t>
  </si>
  <si>
    <t>Công ty Cổ phần Dịch vụ Giải trí Hà Nội</t>
  </si>
  <si>
    <t>HEP</t>
  </si>
  <si>
    <t>Công ty Cổ phần Môi trường và Công trình đô thị Huế</t>
  </si>
  <si>
    <t>HEM</t>
  </si>
  <si>
    <t>Công ty Cổ phần Chế tạo Điện cơ Hà Nội</t>
  </si>
  <si>
    <t>HEJ</t>
  </si>
  <si>
    <t>Tổng Công ty Tư vấn Xây dựng Thủy Lợi Việt Nam - CTCP</t>
  </si>
  <si>
    <t>HEC</t>
  </si>
  <si>
    <t>Công ty Cổ phần Tư vấn xây dựng Thủy Lợi II</t>
  </si>
  <si>
    <t>HDW</t>
  </si>
  <si>
    <t>Công ty Cổ phần Kinh doanh Nước sạch Hải Dương</t>
  </si>
  <si>
    <t>HDS</t>
  </si>
  <si>
    <t>Công ty Cổ phần Giống cây trồng Hải Dương</t>
  </si>
  <si>
    <t>HDP</t>
  </si>
  <si>
    <t>Công ty Cổ phần Dược Hà Tĩnh</t>
  </si>
  <si>
    <t>HDO</t>
  </si>
  <si>
    <t>Công ty Cổ phần Hưng Đạo Container</t>
  </si>
  <si>
    <t>HDM</t>
  </si>
  <si>
    <t>Công ty Cổ phần Dệt May Huế</t>
  </si>
  <si>
    <t>HDG</t>
  </si>
  <si>
    <t>Công ty Cổ phần Tập đoàn Hà Đô</t>
  </si>
  <si>
    <t>HDC</t>
  </si>
  <si>
    <t>Công ty Cổ phần Phát triển Nhà Bà Rịa Vũng Tàu</t>
  </si>
  <si>
    <t>HDB</t>
  </si>
  <si>
    <t>Ngân hàng Thương mại Cổ phần Phát Triển Thành phố Hồ Chí Minh</t>
  </si>
  <si>
    <t>HDA</t>
  </si>
  <si>
    <t>Công ty Cổ phần Hãng sơn Đông Á</t>
  </si>
  <si>
    <t>HD8</t>
  </si>
  <si>
    <t>Công ty Cổ phần Đầu tư Phát triển Nhà và Đô thị HUD8</t>
  </si>
  <si>
    <t>HD6</t>
  </si>
  <si>
    <t>Công ty Cổ phần Đầu tư và Phát triển nhà số 6 Hà Nội</t>
  </si>
  <si>
    <t>HD2</t>
  </si>
  <si>
    <t>Công ty Cổ phần Đầu tư phát triển nhà HUD2</t>
  </si>
  <si>
    <t>HCT</t>
  </si>
  <si>
    <t>Công ty Cổ phần Thương mại - Dịch vụ - Vận tải Xi măng Hải Phòng</t>
  </si>
  <si>
    <t>HCM</t>
  </si>
  <si>
    <t>Công ty Cổ phần Chứng khoán Thành phố Hồ Chí Minh</t>
  </si>
  <si>
    <t>HCI</t>
  </si>
  <si>
    <t>Công ty Cổ phần Đầu tư - Xây dựng Hà Nội</t>
  </si>
  <si>
    <t>HCD</t>
  </si>
  <si>
    <t>Công ty Cổ phần Đầu tư Sản xuất và Thương mại HCD</t>
  </si>
  <si>
    <t>HCC</t>
  </si>
  <si>
    <t>Công ty Cổ phần Bê tông Hòa Cầm - Intimex</t>
  </si>
  <si>
    <t>HCB</t>
  </si>
  <si>
    <t>Công ty Cổ phần Dệt may 29/3</t>
  </si>
  <si>
    <t>HC3</t>
  </si>
  <si>
    <t>Công ty Cổ phần Xây dựng số 3 Hải Phòng</t>
  </si>
  <si>
    <t>HC1</t>
  </si>
  <si>
    <t>Công ty Cổ phần Xây dựng số 1 Hà Nội</t>
  </si>
  <si>
    <t>HBS</t>
  </si>
  <si>
    <t>Công ty Cổ phần Chứng khoán Hòa Bình</t>
  </si>
  <si>
    <t>HBH</t>
  </si>
  <si>
    <t>Công ty Cổ phần HABECO - Hải Phòng</t>
  </si>
  <si>
    <t>HBD</t>
  </si>
  <si>
    <t>Công ty Cổ phần Bao bì PP Bình Dương</t>
  </si>
  <si>
    <t>HBC</t>
  </si>
  <si>
    <t>Công ty Cổ phần Tập đoàn Xây dựng Hòa Bình</t>
  </si>
  <si>
    <t>HAX</t>
  </si>
  <si>
    <t>Công ty Cổ phần Dịch vụ Ô tô Hàng Xanh</t>
  </si>
  <si>
    <t>HAW</t>
  </si>
  <si>
    <t>HAV</t>
  </si>
  <si>
    <t>Công ty Cổ phần Rượu Hapro</t>
  </si>
  <si>
    <t>HAT</t>
  </si>
  <si>
    <t>Công ty Cổ phần Thương mại Bia Hà Nội</t>
  </si>
  <si>
    <t>HAS</t>
  </si>
  <si>
    <t>Công ty Cổ phần Hacisco</t>
  </si>
  <si>
    <t>HAR</t>
  </si>
  <si>
    <t>Công ty Cổ phần Đầu tư Thương mại Bất động sản An Dương Thảo Điền</t>
  </si>
  <si>
    <t>HAP</t>
  </si>
  <si>
    <t>Công ty Cổ phần Tập Đoàn Hapaco</t>
  </si>
  <si>
    <t>HAN</t>
  </si>
  <si>
    <t>Tổng Công ty Xây dựng Hà Nội - CTCP</t>
  </si>
  <si>
    <t>HAM</t>
  </si>
  <si>
    <t>Công ty Cổ phần Vật tư Hậu Giang</t>
  </si>
  <si>
    <t>HAI</t>
  </si>
  <si>
    <t>Công ty Cổ phần Nông dược HAI</t>
  </si>
  <si>
    <t>HAH</t>
  </si>
  <si>
    <t>Công ty Cổ phần Vận tải và Xếp dỡ Hải An</t>
  </si>
  <si>
    <t>HAG</t>
  </si>
  <si>
    <t>Công ty Cổ phần Hoàng Anh Gia Lai</t>
  </si>
  <si>
    <t>HAF</t>
  </si>
  <si>
    <t>Công ty Cổ phần Thực phẩm Hà Nội</t>
  </si>
  <si>
    <t>HAD</t>
  </si>
  <si>
    <t>Công ty Cổ phần Bia Hà Nội - Hải Dương</t>
  </si>
  <si>
    <t>HAC</t>
  </si>
  <si>
    <t>Công ty Cổ phần Chứng khoán Hải Phòng</t>
  </si>
  <si>
    <t>HAB</t>
  </si>
  <si>
    <t>H11</t>
  </si>
  <si>
    <t>Công ty Cổ phần Xây dựng HUD101</t>
  </si>
  <si>
    <t>GVT</t>
  </si>
  <si>
    <t>Công ty Cổ phần Giấy Việt Trì</t>
  </si>
  <si>
    <t>GVR</t>
  </si>
  <si>
    <t>Tập đoàn Công nghiệp Cao su Việt Nam - Công ty Cổ phần</t>
  </si>
  <si>
    <t>GTT</t>
  </si>
  <si>
    <t>Công ty Cổ phần Thuận Thảo</t>
  </si>
  <si>
    <t>GTS</t>
  </si>
  <si>
    <t>Công ty Cổ phần Công trình Giao thông Sài Gòn</t>
  </si>
  <si>
    <t>GTK</t>
  </si>
  <si>
    <t>GTH</t>
  </si>
  <si>
    <t>Công ty Cổ phần Xây dựng Giao thông Thừa Thiên Huế</t>
  </si>
  <si>
    <t>GTD</t>
  </si>
  <si>
    <t>Công ty Cổ phần Giầy Thượng Đình</t>
  </si>
  <si>
    <t>GTA</t>
  </si>
  <si>
    <t>Công ty Cổ phần Chế biến Gỗ Thuận An</t>
  </si>
  <si>
    <t>GSP</t>
  </si>
  <si>
    <t>Công ty Cổ phần Vận tải Sản phẩm Khí Quốc tế</t>
  </si>
  <si>
    <t>GSM</t>
  </si>
  <si>
    <t>Công ty Cổ phần Thủy điện Hương Sơn</t>
  </si>
  <si>
    <t>GQN</t>
  </si>
  <si>
    <t>GPC</t>
  </si>
  <si>
    <t>Công ty Cổ phần Tập đoàn Green+</t>
  </si>
  <si>
    <t>GND</t>
  </si>
  <si>
    <t>Công ty Cổ phần Gạch ngói Đồng Nai</t>
  </si>
  <si>
    <t>GMX</t>
  </si>
  <si>
    <t>Công ty Cổ phần Gạch ngói Gốm xây dựng Mỹ Xuân</t>
  </si>
  <si>
    <t>GMH</t>
  </si>
  <si>
    <t>Công ty Cổ phần Minh Hưng Quảng Trị</t>
  </si>
  <si>
    <t>GMD</t>
  </si>
  <si>
    <t>Công ty Cổ phần Gemadept</t>
  </si>
  <si>
    <t>GMC</t>
  </si>
  <si>
    <t>Công ty Cổ phần Garmex Sài Gòn</t>
  </si>
  <si>
    <t>GMA</t>
  </si>
  <si>
    <t>Công ty Cổ phần G-Automobile</t>
  </si>
  <si>
    <t>GLW</t>
  </si>
  <si>
    <t>Công ty Cổ phần Cấp thoát nước Gia Lai</t>
  </si>
  <si>
    <t>GLT</t>
  </si>
  <si>
    <t>Công ty Cổ phần Kỹ thuật điện Toàn Cầu</t>
  </si>
  <si>
    <t>GLC</t>
  </si>
  <si>
    <t>Công ty Cổ phần Vàng Lào Cai</t>
  </si>
  <si>
    <t>GKM</t>
  </si>
  <si>
    <t>Công ty Cổ phần GKM Holdings</t>
  </si>
  <si>
    <t>GIL</t>
  </si>
  <si>
    <t>Công ty Cổ phần Sản xuất Kinh doanh Xuất nhập khẩu Bình Thạnh</t>
  </si>
  <si>
    <t>GIC</t>
  </si>
  <si>
    <t>Công ty Cổ phần VSC Green Logistics</t>
  </si>
  <si>
    <t>GHC</t>
  </si>
  <si>
    <t>Công ty Cổ phần Thủy điện Gia Lai</t>
  </si>
  <si>
    <t>GH3</t>
  </si>
  <si>
    <t>Công ty Cổ phần Công trình giao thông Hà Nội</t>
  </si>
  <si>
    <t>GGG</t>
  </si>
  <si>
    <t>Công ty Cổ phần Ô tô Giải Phóng</t>
  </si>
  <si>
    <t>GEX</t>
  </si>
  <si>
    <t>Công ty Cổ phần Tập đoàn Gelex</t>
  </si>
  <si>
    <t>GER</t>
  </si>
  <si>
    <t>Công ty Cổ phần Thể thao Ngôi sao Geru</t>
  </si>
  <si>
    <t>GEG</t>
  </si>
  <si>
    <t>Công ty Cổ phần Điện Gia Lai</t>
  </si>
  <si>
    <t>GEE</t>
  </si>
  <si>
    <t>Công ty Cổ phần Điện lực Gelex</t>
  </si>
  <si>
    <t>GE2</t>
  </si>
  <si>
    <t>Tổng Công ty Phát điện 2</t>
  </si>
  <si>
    <t>GDW</t>
  </si>
  <si>
    <t>Công ty Cổ phần Cấp nước Gia Định</t>
  </si>
  <si>
    <t>GDT</t>
  </si>
  <si>
    <t>Công ty Cổ phần Chế biến Gỗ Đức Thành</t>
  </si>
  <si>
    <t>GDA</t>
  </si>
  <si>
    <t>Công ty Cổ phần Tôn Đông Á</t>
  </si>
  <si>
    <t>GCF</t>
  </si>
  <si>
    <t>Công ty Cổ phần Thực phẩm G.C</t>
  </si>
  <si>
    <t>GCB</t>
  </si>
  <si>
    <t>Công ty Cổ phần PETEC Bình Định</t>
  </si>
  <si>
    <t>GAS</t>
  </si>
  <si>
    <t>Tổng Công ty Khí Việt Nam - Công ty Cổ phần</t>
  </si>
  <si>
    <t>GAB</t>
  </si>
  <si>
    <t>Công ty Cổ phần Đầu tư Khai khoáng &amp; Quản lý Tài sản FLC</t>
  </si>
  <si>
    <t>G36</t>
  </si>
  <si>
    <t>Tổng Công ty 36 - Công ty Cổ phần</t>
  </si>
  <si>
    <t>G20</t>
  </si>
  <si>
    <t>Công ty Cổ phần Đầu tư Dệt may Vĩnh Phúc</t>
  </si>
  <si>
    <t>FTS</t>
  </si>
  <si>
    <t>Công ty Cổ phần Chứng khoán FPT</t>
  </si>
  <si>
    <t>FTM</t>
  </si>
  <si>
    <t>Công ty Cổ phần Đầu tư và Phát triển Đức Quân</t>
  </si>
  <si>
    <t>FTI</t>
  </si>
  <si>
    <t>Công ty Cổ phần Công nghiệp - Thương mại Hữu Nghị</t>
  </si>
  <si>
    <t>FT1</t>
  </si>
  <si>
    <t>Công ty Cổ phần Phụ tùng máy số 1</t>
  </si>
  <si>
    <t>FSO</t>
  </si>
  <si>
    <t>Công ty Cổ phần Cơ khí đóng tàu thủy sản Việt Nam</t>
  </si>
  <si>
    <t>FRT</t>
  </si>
  <si>
    <t>Công ty Cổ phần Bán lẻ Kỹ thuật số FPT</t>
  </si>
  <si>
    <t>FRM</t>
  </si>
  <si>
    <t>Công ty Cổ phần Lâm nghiệp Sài Gòn</t>
  </si>
  <si>
    <t>FRC</t>
  </si>
  <si>
    <t>Công ty Cổ phần Lâm đặc sản xuất khẩu Quảng Nam</t>
  </si>
  <si>
    <t>FPT</t>
  </si>
  <si>
    <t>Công ty Cổ phần FPT</t>
  </si>
  <si>
    <t>FOX</t>
  </si>
  <si>
    <t>Công ty Cổ phần Viễn thông FPT</t>
  </si>
  <si>
    <t>FOC</t>
  </si>
  <si>
    <t>Công ty Cổ phần Dịch vụ Trực tuyến FPT</t>
  </si>
  <si>
    <t>FMC</t>
  </si>
  <si>
    <t>Công ty Cổ phần Thực phẩm Sao Ta</t>
  </si>
  <si>
    <t>FLC</t>
  </si>
  <si>
    <t>Công ty Cổ phần Tập đoàn FLC</t>
  </si>
  <si>
    <t>FIT</t>
  </si>
  <si>
    <t>Công ty Cổ phần Tập đoàn F.I.T</t>
  </si>
  <si>
    <t>FIR</t>
  </si>
  <si>
    <t>Công ty Cổ phần Địa ốc First Real</t>
  </si>
  <si>
    <t>FID</t>
  </si>
  <si>
    <t>Công ty Cổ phần Đầu tư và Phát triển Doanh nghiệp Việt Nam</t>
  </si>
  <si>
    <t>FIC</t>
  </si>
  <si>
    <t>Tổng Công ty Vật liệu Xây dựng số 1 - Công ty Cổ phần</t>
  </si>
  <si>
    <t>FHS</t>
  </si>
  <si>
    <t>Công ty Cổ phần Phát hành sách Thành phố Hồ Chí Minh - FAHASA</t>
  </si>
  <si>
    <t>FHN</t>
  </si>
  <si>
    <t>Công ty Cổ phần Xuất nhập khẩu Lương thực - Thực phẩm Hà Nội</t>
  </si>
  <si>
    <t>FGL</t>
  </si>
  <si>
    <t>Công ty Cổ phần Cà phê Gia Lai</t>
  </si>
  <si>
    <t>FDG</t>
  </si>
  <si>
    <t>Công ty Cổ phần Docimexco</t>
  </si>
  <si>
    <t>FDC</t>
  </si>
  <si>
    <t>Công ty Cổ phần Ngoại thương và Phát triển Đầu tư Thành phố Hồ Chí Minh</t>
  </si>
  <si>
    <t>FCS</t>
  </si>
  <si>
    <t>Công ty Cổ phần Lương thực Thành phố Hồ Chí Minh</t>
  </si>
  <si>
    <t>FCN</t>
  </si>
  <si>
    <t>Công ty Cổ phần FECON</t>
  </si>
  <si>
    <t>FCM</t>
  </si>
  <si>
    <t>Công ty Cổ phần Bê tông Phan Vũ Hà Nam</t>
  </si>
  <si>
    <t>FCC</t>
  </si>
  <si>
    <t>Công ty Cổ phần Liên hợp Thực phẩm</t>
  </si>
  <si>
    <t>FBC</t>
  </si>
  <si>
    <t>Công ty Cổ phần Cơ khí Phổ Yên</t>
  </si>
  <si>
    <t>FBA</t>
  </si>
  <si>
    <t>Công ty Cổ phần Tập đoàn Quốc tế FBA</t>
  </si>
  <si>
    <t>F88</t>
  </si>
  <si>
    <t>Công ty Cổ phần Đầu tư F88</t>
  </si>
  <si>
    <t>EVS</t>
  </si>
  <si>
    <t>Công ty Cổ phần Chứng khoán EVS</t>
  </si>
  <si>
    <t>EVG</t>
  </si>
  <si>
    <t>Công ty Cổ phần Tập đoàn Everland</t>
  </si>
  <si>
    <t>EVF</t>
  </si>
  <si>
    <t>Công ty Tài chính Tổng hợp Cổ phần Điện Lực</t>
  </si>
  <si>
    <t>EVE</t>
  </si>
  <si>
    <t>Công ty Cổ phần Everpia</t>
  </si>
  <si>
    <t>EPH</t>
  </si>
  <si>
    <t>Công ty Cổ phần Dịch vụ Xuất bản Giáo dục Hà Nội</t>
  </si>
  <si>
    <t>EPC</t>
  </si>
  <si>
    <t>Công ty Cổ phần Cà Phê Ea Pốk</t>
  </si>
  <si>
    <t>EMS</t>
  </si>
  <si>
    <t>Tổng Công ty Chuyển phát nhanh Bưu điện - Công ty Cổ phần</t>
  </si>
  <si>
    <t>EMG</t>
  </si>
  <si>
    <t>Công ty Cổ phần Thiết bị Phụ tùng Cơ điện</t>
  </si>
  <si>
    <t>EME</t>
  </si>
  <si>
    <t>Công ty Cổ phần Điện Cơ</t>
  </si>
  <si>
    <t>EMC</t>
  </si>
  <si>
    <t>Công ty Cổ phần Cơ điện Thủ Đức</t>
  </si>
  <si>
    <t>ELC</t>
  </si>
  <si>
    <t>Công ty Cổ phần Công nghệ - Viễn thông ELCOM</t>
  </si>
  <si>
    <t>EIN</t>
  </si>
  <si>
    <t>Công ty Cổ phần Đầu tư - Thương Mại - Dịch vụ Điện lực</t>
  </si>
  <si>
    <t>EID</t>
  </si>
  <si>
    <t>Công ty Cổ phần Đầu tư và Phát triển Giáo dục Hà Nội</t>
  </si>
  <si>
    <t>EIC</t>
  </si>
  <si>
    <t>Công ty Cổ phần EVN Quốc Tế</t>
  </si>
  <si>
    <t>EIB</t>
  </si>
  <si>
    <t>Ngân hàng Thương mại Cổ phần Xuất nhập khẩu Việt Nam</t>
  </si>
  <si>
    <t>EGL</t>
  </si>
  <si>
    <t>Công ty Cổ phần Môi Trường Đô Thị Gia Lâm</t>
  </si>
  <si>
    <t>EFI</t>
  </si>
  <si>
    <t>Công ty Cổ phần Đầu tư Tài chính Giáo dục</t>
  </si>
  <si>
    <t>ECO</t>
  </si>
  <si>
    <t>Công ty Cổ Phần Nhựa Sinh Thái Việt Nam</t>
  </si>
  <si>
    <t>ECI</t>
  </si>
  <si>
    <t>Công ty Cổ phần Tập đoàn ECI</t>
  </si>
  <si>
    <t>EBS</t>
  </si>
  <si>
    <t>Công ty Cổ phần Sách Giáo dục tại Thành phố Hà Nội</t>
  </si>
  <si>
    <t>EAD</t>
  </si>
  <si>
    <t>Công ty Cổ phần Thủy điện Điện lực Đắk Lắk</t>
  </si>
  <si>
    <t>E29</t>
  </si>
  <si>
    <t>Công ty cổ phần Đầu tư Xây dựng và Kỹ thuật 29</t>
  </si>
  <si>
    <t>E12</t>
  </si>
  <si>
    <t>Công ty Cổ phần Xây Dựng Điện VNECO 12</t>
  </si>
  <si>
    <t>DZM</t>
  </si>
  <si>
    <t>Công ty Cổ phần Cơ điện Dzĩ An</t>
  </si>
  <si>
    <t>DXV</t>
  </si>
  <si>
    <t>Công ty Cổ phần VICEM Vật liệu Xây dựng Đà Nẵng</t>
  </si>
  <si>
    <t>DXS</t>
  </si>
  <si>
    <t>Công ty Cổ phần Dịch vụ Bất động sản Đất Xanh</t>
  </si>
  <si>
    <t>DXP</t>
  </si>
  <si>
    <t>Công ty Cổ phần Cảng Đoạn Xá</t>
  </si>
  <si>
    <t>DXL</t>
  </si>
  <si>
    <t>Công ty Cổ phần Du lịch và Xuất nhập khẩu Lạng Sơn</t>
  </si>
  <si>
    <t>DXG</t>
  </si>
  <si>
    <t>Công ty Cổ phần Tập đoàn Đất Xanh</t>
  </si>
  <si>
    <t>DX2</t>
  </si>
  <si>
    <t>DWS</t>
  </si>
  <si>
    <t>Công ty Cổ phần Cấp nước và Môi trường Đô thị Đồng Tháp</t>
  </si>
  <si>
    <t>DWC</t>
  </si>
  <si>
    <t>Công ty Cổ phần Cấp nước Đắk Lắk</t>
  </si>
  <si>
    <t>DVW</t>
  </si>
  <si>
    <t>Công ty Cổ phần Dịch vụ và Xây dựng cấp nước Đồng Nai</t>
  </si>
  <si>
    <t>DVT</t>
  </si>
  <si>
    <t>Trung tâm Đào tạo nghiệp vụ Giao thông vận tải Bình Định</t>
  </si>
  <si>
    <t>DVP</t>
  </si>
  <si>
    <t>Công ty Cổ phần Đầu tư và Phát triển Cảng Đình Vũ</t>
  </si>
  <si>
    <t>DVN</t>
  </si>
  <si>
    <t>Tổng Công ty Dược Việt Nam - CTCP</t>
  </si>
  <si>
    <t>DVM</t>
  </si>
  <si>
    <t>Công ty Cổ phần Dược liệu Việt Nam</t>
  </si>
  <si>
    <t>DVG</t>
  </si>
  <si>
    <t>Công ty Cổ phần Đại Việt Group DVG</t>
  </si>
  <si>
    <t>DVC</t>
  </si>
  <si>
    <t>Công ty Cổ phần Thương mại dịch vụ Tổng Hợp Cảng Hải Phòng</t>
  </si>
  <si>
    <t>DUS</t>
  </si>
  <si>
    <t>Công ty Cổ phần Dịch vụ Đô thị Đà Lạt</t>
  </si>
  <si>
    <t>DTV</t>
  </si>
  <si>
    <t>Công ty Cổ phần Phát triển điện Trà Vinh</t>
  </si>
  <si>
    <t>DTT</t>
  </si>
  <si>
    <t>Công ty Cổ phần Kỹ nghệ Đô Thành</t>
  </si>
  <si>
    <t>DTP</t>
  </si>
  <si>
    <t>Công ty Cổ phần Dược phẩm CPC1 Hà Nội</t>
  </si>
  <si>
    <t>DTL</t>
  </si>
  <si>
    <t>Công ty Cổ phần Đại Thiên Lộc</t>
  </si>
  <si>
    <t>DTK</t>
  </si>
  <si>
    <t>Tổng Công ty Điện lực TKV - Công ty Cổ phần</t>
  </si>
  <si>
    <t>DTI</t>
  </si>
  <si>
    <t>Công ty Cổ phần Đầu tư Đức Trung</t>
  </si>
  <si>
    <t>DTH</t>
  </si>
  <si>
    <t>Công ty Cổ phần Dược - Vật tư Y tế Thanh Hóa</t>
  </si>
  <si>
    <t>DTG</t>
  </si>
  <si>
    <t>Công ty Cổ phần Dược phẩm Tipharco</t>
  </si>
  <si>
    <t>DTE</t>
  </si>
  <si>
    <t>Công ty Cổ phần Đầu tư Năng lượng Đại Trường Thành Holdings</t>
  </si>
  <si>
    <t>DTD</t>
  </si>
  <si>
    <t>Công ty Cổ phần Đầu tư Phát triển Thành Đạt</t>
  </si>
  <si>
    <t>DTC</t>
  </si>
  <si>
    <t>Công ty Cổ phần Viglacera Đông Triều</t>
  </si>
  <si>
    <t>DTB</t>
  </si>
  <si>
    <t>Công ty Cổ phần Công trình Đô thị Bảo Lộc</t>
  </si>
  <si>
    <t>DTA</t>
  </si>
  <si>
    <t>Công ty Cổ phần Đệ Tam</t>
  </si>
  <si>
    <t>DT4</t>
  </si>
  <si>
    <t>Công ty Cổ phần Quản lý Đường sông số 4</t>
  </si>
  <si>
    <t>DSV</t>
  </si>
  <si>
    <t>Công ty Cổ phần Đường sắt Vĩnh Phú</t>
  </si>
  <si>
    <t>DST</t>
  </si>
  <si>
    <t>Công ty Cổ phần Đầu tư Sao Thăng Long</t>
  </si>
  <si>
    <t>DSP</t>
  </si>
  <si>
    <t>Công ty Cổ phần Dịch vụ Du lịch Phú Thọ</t>
  </si>
  <si>
    <t>DSN</t>
  </si>
  <si>
    <t>Công ty Cổ phần Công viên nước Đầm Sen</t>
  </si>
  <si>
    <t>DSH</t>
  </si>
  <si>
    <t>Công ty Cổ Phần Đầu tư Hạ tầng Đông Sơn</t>
  </si>
  <si>
    <t>DSG</t>
  </si>
  <si>
    <t>Công ty Cổ phần Kính Đáp Cầu</t>
  </si>
  <si>
    <t>DSE</t>
  </si>
  <si>
    <t>Công ty Cổ phần Chứng khoán DNSE</t>
  </si>
  <si>
    <t>DSD</t>
  </si>
  <si>
    <t>Công ty cổ phần DHC Suối Đôi</t>
  </si>
  <si>
    <t>DSC</t>
  </si>
  <si>
    <t>Công ty Cổ phần Chứng khoán DSC</t>
  </si>
  <si>
    <t>DS3</t>
  </si>
  <si>
    <t>Công ty Cổ phần DS3</t>
  </si>
  <si>
    <t>DRL</t>
  </si>
  <si>
    <t>Công ty Cổ phần Thủy điện - Điện lực 3</t>
  </si>
  <si>
    <t>DRI</t>
  </si>
  <si>
    <t>Công ty Cổ phần Đầu tư Cao su Đắk Lắk</t>
  </si>
  <si>
    <t>DRH</t>
  </si>
  <si>
    <t>Công ty Cổ phần DRH Holdings</t>
  </si>
  <si>
    <t>DRG</t>
  </si>
  <si>
    <t>Công ty Cổ phần Cao su Đắk Lắk</t>
  </si>
  <si>
    <t>DRC</t>
  </si>
  <si>
    <t>Công ty Cổ phần Cao su Đà Nẵng</t>
  </si>
  <si>
    <t>DQC</t>
  </si>
  <si>
    <t>Công ty Cổ phần Tập đoàn Điện Quang</t>
  </si>
  <si>
    <t>DPS</t>
  </si>
  <si>
    <t>Công ty Cổ phần Đầu tư Phát triển Sóc Sơn</t>
  </si>
  <si>
    <t>DPR</t>
  </si>
  <si>
    <t>Công ty Cổ phần Cao su Đồng Phú</t>
  </si>
  <si>
    <t>DPP</t>
  </si>
  <si>
    <t>Công ty Cổ phần Dược Đồng Nai</t>
  </si>
  <si>
    <t>DPM</t>
  </si>
  <si>
    <t>Tổng Công ty Phân bón và Hóa chất Dầu khí - Công ty Cổ phần</t>
  </si>
  <si>
    <t>DPH</t>
  </si>
  <si>
    <t>Công ty Cổ phần Dược phẩm Hải Phòng</t>
  </si>
  <si>
    <t>DPG</t>
  </si>
  <si>
    <t>Công ty Cổ phần Tập đoàn Đạt Phương</t>
  </si>
  <si>
    <t>DPD</t>
  </si>
  <si>
    <t>Công ty cổ phần Cao su Đồng Phú - Đắk Nông</t>
  </si>
  <si>
    <t>DPC</t>
  </si>
  <si>
    <t>Công ty Cổ phần Nhựa Đà Nẵng</t>
  </si>
  <si>
    <t>DP3</t>
  </si>
  <si>
    <t>Công ty Cổ Phần Dược Phẩm Trung Ương 3</t>
  </si>
  <si>
    <t>DP2</t>
  </si>
  <si>
    <t>Công ty Cổ phần Dược phẩm Trung ương 2</t>
  </si>
  <si>
    <t>DP1</t>
  </si>
  <si>
    <t>Công ty Cổ phần Dược phẩm Trung ương CPC1</t>
  </si>
  <si>
    <t>DOP</t>
  </si>
  <si>
    <t>Công ty Cổ phần Vận tải Xăng dầu Đồng Tháp</t>
  </si>
  <si>
    <t>DOC</t>
  </si>
  <si>
    <t>Công ty Cổ phần Vật tư nông nghiệp Đồng Nai</t>
  </si>
  <si>
    <t>DNW</t>
  </si>
  <si>
    <t>Công ty Cổ phần Cấp nước Đồng Nai</t>
  </si>
  <si>
    <t>DNT</t>
  </si>
  <si>
    <t>Công ty Cổ phần Du lịch Đồng Nai</t>
  </si>
  <si>
    <t>DNP</t>
  </si>
  <si>
    <t>Công ty Cổ phần DNP Holding</t>
  </si>
  <si>
    <t>DNN</t>
  </si>
  <si>
    <t>Công ty Cổ phần Cấp nước Đà Nẵng</t>
  </si>
  <si>
    <t>DNM</t>
  </si>
  <si>
    <t>Tổng Công ty Cổ phần Y tế Danameco</t>
  </si>
  <si>
    <t>DNL</t>
  </si>
  <si>
    <t>Công ty Cổ phần Logistics Cảng Đà Nẵng</t>
  </si>
  <si>
    <t>DNH</t>
  </si>
  <si>
    <t>Công ty Cổ phần Thủy điện Đa Nhim - Hàm Thuận - Đa Mi</t>
  </si>
  <si>
    <t>DNE</t>
  </si>
  <si>
    <t>Công ty Cổ phần Môi trường Đô thị Đà Nẵng</t>
  </si>
  <si>
    <t>DND</t>
  </si>
  <si>
    <t>Công ty Cổ phần Đầu tư Xây dựng và Vật liệu Đồng Nai</t>
  </si>
  <si>
    <t>DNC</t>
  </si>
  <si>
    <t>Công ty Cổ phần Điện nước Lắp máy Hải Phòng</t>
  </si>
  <si>
    <t>DNB</t>
  </si>
  <si>
    <t>DNA</t>
  </si>
  <si>
    <t>Công ty Cổ phần Điện nước An Giang</t>
  </si>
  <si>
    <t>DMS</t>
  </si>
  <si>
    <t>Công ty Cổ phần Hóa phẩm dầu khí DMC - Miền Nam</t>
  </si>
  <si>
    <t>DMN</t>
  </si>
  <si>
    <t>Công ty Cổ phần Domenal</t>
  </si>
  <si>
    <t>DMC</t>
  </si>
  <si>
    <t>Công ty Cổ phần Xuất nhập khẩu Y tế DOMESCO</t>
  </si>
  <si>
    <t>DM7</t>
  </si>
  <si>
    <t>Công ty Cổ phần Dệt may 7</t>
  </si>
  <si>
    <t>DLT</t>
  </si>
  <si>
    <t>Công ty Cổ phần Du lịch và Thương mại - Vinacomin</t>
  </si>
  <si>
    <t>DLR</t>
  </si>
  <si>
    <t>Công ty Cổ phần Địa ốc Đà Lạt</t>
  </si>
  <si>
    <t>DLM</t>
  </si>
  <si>
    <t>Công ty Cổ phần Chiếu sáng công cộng Đà Nẵng</t>
  </si>
  <si>
    <t>DLG</t>
  </si>
  <si>
    <t>Công ty Cổ phần Tập đoàn Đức Long Gia Lai</t>
  </si>
  <si>
    <t>DLD</t>
  </si>
  <si>
    <t>Công ty Cổ phần Du lịch Đắk Lắk</t>
  </si>
  <si>
    <t>DL1</t>
  </si>
  <si>
    <t>Công ty Cổ phần Tập đoàn Alpha Seven</t>
  </si>
  <si>
    <t>DKW</t>
  </si>
  <si>
    <t>Công ty Cổ phần Cấp nước sinh hoạt Châu Thành</t>
  </si>
  <si>
    <t>DKH</t>
  </si>
  <si>
    <t>DKG</t>
  </si>
  <si>
    <t>Công ty Cổ Phần Tập đoàn DamiK</t>
  </si>
  <si>
    <t>DKC</t>
  </si>
  <si>
    <t>Công ty Cổ phần Chợ Lạng Sơn</t>
  </si>
  <si>
    <t>DIH</t>
  </si>
  <si>
    <t>Công ty Cổ phần Đầu tư Phát triển Xây dựng - Hội An</t>
  </si>
  <si>
    <t>DIG</t>
  </si>
  <si>
    <t>Tổng Công ty Cổ phần Đầu tư Phát triển Xây dựng</t>
  </si>
  <si>
    <t>DID</t>
  </si>
  <si>
    <t>Công ty Cổ phần DIC - Đồng Tiến</t>
  </si>
  <si>
    <t>DIC</t>
  </si>
  <si>
    <t>Công ty Cổ phần Đầu tư và Thương mại DIC</t>
  </si>
  <si>
    <t>DHT</t>
  </si>
  <si>
    <t>Công ty Cổ phần Dược phẩm Hà Tây</t>
  </si>
  <si>
    <t>DHP</t>
  </si>
  <si>
    <t>Công ty Cổ phần Điện cơ Hải Phòng</t>
  </si>
  <si>
    <t>DHN</t>
  </si>
  <si>
    <t>Công ty Cổ phần Dược phẩm Hà Nội</t>
  </si>
  <si>
    <t>DHM</t>
  </si>
  <si>
    <t>Công ty Cổ phần Thương mại &amp; Khai thác Khoáng sản Dương Hiếu</t>
  </si>
  <si>
    <t>DHG</t>
  </si>
  <si>
    <t>Công ty Cổ phần Dược Hậu Giang</t>
  </si>
  <si>
    <t>DHD</t>
  </si>
  <si>
    <t>Công ty Cổ phần Dược Vật Tư Y Tế Hải Dương</t>
  </si>
  <si>
    <t>DHC</t>
  </si>
  <si>
    <t>Công ty Cổ phần Đông Hải Bến Tre</t>
  </si>
  <si>
    <t>DHB</t>
  </si>
  <si>
    <t>Công ty Cổ phần Phân đạm và Hóa chất Hà Bắc</t>
  </si>
  <si>
    <t>DHA</t>
  </si>
  <si>
    <t>Công ty Cổ phần Hóa An</t>
  </si>
  <si>
    <t>DGW</t>
  </si>
  <si>
    <t>Công ty Cổ phần Thế Giới Số</t>
  </si>
  <si>
    <t>DGT</t>
  </si>
  <si>
    <t>Công ty Cổ phần Công trình Giao thông Đồng Nai</t>
  </si>
  <si>
    <t>DGC</t>
  </si>
  <si>
    <t>Công ty Cổ phần Tập đoàn Hóa chất Đức Giang</t>
  </si>
  <si>
    <t>DFF</t>
  </si>
  <si>
    <t>Công ty Cổ phần Tập đoàn Đua Fat</t>
  </si>
  <si>
    <t>DFC</t>
  </si>
  <si>
    <t>Công ty Cổ phần Xích líp Đông Anh</t>
  </si>
  <si>
    <t>DDV</t>
  </si>
  <si>
    <t>Công ty Cổ phần DAP - Vinachem</t>
  </si>
  <si>
    <t>DDN</t>
  </si>
  <si>
    <t>Công ty Cổ phần Dược - Thiết bị y tế Đà Nẵng</t>
  </si>
  <si>
    <t>DDM</t>
  </si>
  <si>
    <t>Công ty Cổ phần Hàng hải Đông Đô</t>
  </si>
  <si>
    <t>DDH</t>
  </si>
  <si>
    <t>Công ty Cổ phần Đảm bảo giao thông đường thủy Hải Phòng</t>
  </si>
  <si>
    <t>DDG</t>
  </si>
  <si>
    <t>Công ty Cổ phần Đầu tư Công nghiệp Xuất nhập khẩu Đông Dương</t>
  </si>
  <si>
    <t>DDB</t>
  </si>
  <si>
    <t>Công ty Cổ Phần Thương Mại Và Xây Dựng Đông Dương</t>
  </si>
  <si>
    <t>DCT</t>
  </si>
  <si>
    <t>Công ty Cổ phần Tấm lợp Vật liệu Xây dựng Đồng Nai</t>
  </si>
  <si>
    <t>DCS</t>
  </si>
  <si>
    <t>Công ty Cổ phần Tập đoàn EDX</t>
  </si>
  <si>
    <t>DCR</t>
  </si>
  <si>
    <t>Công ty Cổ phần Gạch men COSEVCO</t>
  </si>
  <si>
    <t>DCM</t>
  </si>
  <si>
    <t>Công ty Cổ phần - Tổng Công ty Phân bón Dầu Khí Cà Mau</t>
  </si>
  <si>
    <t>DCL</t>
  </si>
  <si>
    <t>Công ty Cổ phần Dược phẩm Cửu Long</t>
  </si>
  <si>
    <t>DCH</t>
  </si>
  <si>
    <t>Công ty Cổ phần Địa chính Hà Nội</t>
  </si>
  <si>
    <t>DCG</t>
  </si>
  <si>
    <t>Công ty Cổ phần Tổng Công ty May Đáp Cầu</t>
  </si>
  <si>
    <t>DCF</t>
  </si>
  <si>
    <t>Công ty Cổ phần Xây dựng và Thiết kế số 1</t>
  </si>
  <si>
    <t>DC4</t>
  </si>
  <si>
    <t>Công ty Cổ phần Dicera Holdings</t>
  </si>
  <si>
    <t>DC2</t>
  </si>
  <si>
    <t>Công ty Cổ phần Đầu tư Phát triển - Xây dựng (DIC) số 2</t>
  </si>
  <si>
    <t>DC1</t>
  </si>
  <si>
    <t>Công ty Cổ phần Đầu tư Phát triển Xây dựng số 1</t>
  </si>
  <si>
    <t>DBW</t>
  </si>
  <si>
    <t>Công ty Cổ phần Cấp nước Điện Biên</t>
  </si>
  <si>
    <t>DBT</t>
  </si>
  <si>
    <t>Công ty Cổ phần Dược phẩm Bến Tre</t>
  </si>
  <si>
    <t>DBM</t>
  </si>
  <si>
    <t>Công ty Cổ phần Dược - Vật tư Y tế Đắk Lắk</t>
  </si>
  <si>
    <t>DBH</t>
  </si>
  <si>
    <t>Công ty Cổ phần Đường bộ Hải Phòng</t>
  </si>
  <si>
    <t>DBD</t>
  </si>
  <si>
    <t>Công ty Cổ phần Dược - Trang thiết bị y tế Bình Định (BIDIPHAR)</t>
  </si>
  <si>
    <t>DBC</t>
  </si>
  <si>
    <t>Công ty Cổ phần Tập đoàn Dabaco Việt Nam</t>
  </si>
  <si>
    <t>DAT</t>
  </si>
  <si>
    <t>Công ty Cổ phần Đầu tư Du lịch và Phát triển Thủy sản</t>
  </si>
  <si>
    <t>DAS</t>
  </si>
  <si>
    <t>Công ty Cổ phần Máy - Thiết bị Dầu khí Đà Nẵng</t>
  </si>
  <si>
    <t>DAR</t>
  </si>
  <si>
    <t>Công ty Cổ phần Xe lửa Dĩ An</t>
  </si>
  <si>
    <t>DAN</t>
  </si>
  <si>
    <t>Công ty Cổ phần Dược Danapha</t>
  </si>
  <si>
    <t>DAH</t>
  </si>
  <si>
    <t>Công ty Cổ phần Tập đoàn Khách sạn Đông Á</t>
  </si>
  <si>
    <t>DAG</t>
  </si>
  <si>
    <t>Công ty Cổ phần Tập đoàn Nhựa Đông Á</t>
  </si>
  <si>
    <t>DAE</t>
  </si>
  <si>
    <t>Công ty Cổ phần Sách Giáo dục tại Thành phố Đà Nẵng</t>
  </si>
  <si>
    <t>DAD</t>
  </si>
  <si>
    <t>Công ty Cổ phần Đầu tư và Phát triển Giáo dục Đà Nẵng</t>
  </si>
  <si>
    <t>DAC</t>
  </si>
  <si>
    <t>Công ty Cổ phần 382 Đông Anh</t>
  </si>
  <si>
    <t>D2D</t>
  </si>
  <si>
    <t>Công ty Cổ phần Phát triển Đô thị Công nghiệp số 2</t>
  </si>
  <si>
    <t>D17</t>
  </si>
  <si>
    <t>Công ty Cổ Phần Đồng Tân</t>
  </si>
  <si>
    <t>D11</t>
  </si>
  <si>
    <t>Công ty Cổ phần Địa ốc 11</t>
  </si>
  <si>
    <t>CYC</t>
  </si>
  <si>
    <t>Công ty Cổ phần Gạch men Chang Yih</t>
  </si>
  <si>
    <t>CX8</t>
  </si>
  <si>
    <t>Công ty Cổ phần Đầu tư và Xây lắp Constrexim số 8</t>
  </si>
  <si>
    <t>CVT</t>
  </si>
  <si>
    <t>Công ty Cổ phần CMC</t>
  </si>
  <si>
    <t>CVP</t>
  </si>
  <si>
    <t>Công ty cổ phần Cảng Cửa Việt</t>
  </si>
  <si>
    <t>CVN</t>
  </si>
  <si>
    <t>Công ty Cổ phần Vinam</t>
  </si>
  <si>
    <t>CTX</t>
  </si>
  <si>
    <t>Tổng Công ty Cổ phần Đầu tư Xây dựng và Thương mại Việt Nam</t>
  </si>
  <si>
    <t>CTW</t>
  </si>
  <si>
    <t>Công ty Cổ phần Cấp thoát nước Cần Thơ</t>
  </si>
  <si>
    <t>CTT</t>
  </si>
  <si>
    <t>Công ty Cổ phần Chế tạo máy - Vinacomin</t>
  </si>
  <si>
    <t>CTS</t>
  </si>
  <si>
    <t>Công ty Cổ phần Chứng khoán Vietinbank</t>
  </si>
  <si>
    <t>CTR</t>
  </si>
  <si>
    <t>Tổng Công ty Cổ phần Công trình Viettel</t>
  </si>
  <si>
    <t>CTP</t>
  </si>
  <si>
    <t>Công ty Cổ phần Hoà Bình Takara</t>
  </si>
  <si>
    <t>CTN</t>
  </si>
  <si>
    <t>Công ty Cổ phần Xây dựng Công trình ngầm</t>
  </si>
  <si>
    <t>CTI</t>
  </si>
  <si>
    <t>Công ty Cổ phần Đầu tư Phát triển Cường Thuận IDICO</t>
  </si>
  <si>
    <t>CTG</t>
  </si>
  <si>
    <t>Ngân hàng Thương mại Cổ phần Công thương Việt Nam</t>
  </si>
  <si>
    <t>CTF</t>
  </si>
  <si>
    <t>Công ty Cổ phần City Auto</t>
  </si>
  <si>
    <t>CTD</t>
  </si>
  <si>
    <t>Công ty Cổ phần Xây dựng Coteccons</t>
  </si>
  <si>
    <t>CTC</t>
  </si>
  <si>
    <t>Công ty Cổ phần Tập đoàn Hoàng Kim Tây Nguyên</t>
  </si>
  <si>
    <t>CTB</t>
  </si>
  <si>
    <t>Công ty Cổ phần Chế tạo Bơm Hải Dương</t>
  </si>
  <si>
    <t>CTA</t>
  </si>
  <si>
    <t>Công ty Cổ phần Vinavico</t>
  </si>
  <si>
    <t>CT6</t>
  </si>
  <si>
    <t>Công ty Cổ phần Công trình 6</t>
  </si>
  <si>
    <t>CT5</t>
  </si>
  <si>
    <t>CT3</t>
  </si>
  <si>
    <t>Công ty Cổ phần Đầu tư và Xây dựng công trình 3</t>
  </si>
  <si>
    <t>CSV</t>
  </si>
  <si>
    <t>Công ty Cổ phần Hóa chất Cơ bản miền Nam</t>
  </si>
  <si>
    <t>CST</t>
  </si>
  <si>
    <t>Công ty Cổ phần Than Cao Sơn - TKV</t>
  </si>
  <si>
    <t>CSM</t>
  </si>
  <si>
    <t>Công ty Cổ phần Công nghiệp Cao su Miền Nam</t>
  </si>
  <si>
    <t>CSI</t>
  </si>
  <si>
    <t>Công ty Cổ phần Chứng khoán Kiến thiết Việt Nam</t>
  </si>
  <si>
    <t>CSC</t>
  </si>
  <si>
    <t>Công ty Cổ phần Tập đoàn COTANA</t>
  </si>
  <si>
    <t>CRV</t>
  </si>
  <si>
    <t>Công ty Cổ phần Tập đoàn Bất động sản CRV</t>
  </si>
  <si>
    <t>CRE</t>
  </si>
  <si>
    <t>Công ty Cổ phần Bất động sản Thế Kỷ</t>
  </si>
  <si>
    <t>CRC</t>
  </si>
  <si>
    <t>Công ty Cổ phần Create Capital Việt Nam</t>
  </si>
  <si>
    <t>CQT</t>
  </si>
  <si>
    <t>Công ty Cổ phần Xi măng Quán Triều VVMI</t>
  </si>
  <si>
    <t>CQN</t>
  </si>
  <si>
    <t>Công ty Cổ phần Cảng Quảng Ninh</t>
  </si>
  <si>
    <t>CPI</t>
  </si>
  <si>
    <t>Công ty Cổ phần Đầu tư Cảng Cái Lân</t>
  </si>
  <si>
    <t>CPH</t>
  </si>
  <si>
    <t>Công ty Cổ phần Phục vụ Mai táng Hải Phòng</t>
  </si>
  <si>
    <t>CPC</t>
  </si>
  <si>
    <t>Công ty Cổ phần Thuốc sát trùng Cần Thơ</t>
  </si>
  <si>
    <t>CPA</t>
  </si>
  <si>
    <t>Công ty Cổ phần Cà phê Phước An</t>
  </si>
  <si>
    <t>COM</t>
  </si>
  <si>
    <t>Công ty Cổ phần Vật tư Xăng dầu</t>
  </si>
  <si>
    <t>CNT</t>
  </si>
  <si>
    <t>Công ty Cổ phần Tập đoàn CNT</t>
  </si>
  <si>
    <t>CNN</t>
  </si>
  <si>
    <t>Công ty Cổ phần Tư vấn Công nghệ, Thiết bị và Kiểm định Xây dựng - CONINCO</t>
  </si>
  <si>
    <t>CNG</t>
  </si>
  <si>
    <t>Công ty Cổ phần CNG Việt Nam</t>
  </si>
  <si>
    <t>CNC</t>
  </si>
  <si>
    <t>Công ty Cổ phần Công nghệ cao Traphaco</t>
  </si>
  <si>
    <t>CNA</t>
  </si>
  <si>
    <t>Công ty Cổ phần Tổng công ty Chè Nghệ An</t>
  </si>
  <si>
    <t>CMX</t>
  </si>
  <si>
    <t>Công ty Cổ phần CAMIMEX Group</t>
  </si>
  <si>
    <t>CMW</t>
  </si>
  <si>
    <t>Công ty Cổ phần Cấp nước Cà Mau</t>
  </si>
  <si>
    <t>CMV</t>
  </si>
  <si>
    <t>Công ty Cổ phần Thương nghiệp Cà Mau</t>
  </si>
  <si>
    <t>CMT</t>
  </si>
  <si>
    <t>Công ty Cổ phần Công nghệ mạng và Truyền thông</t>
  </si>
  <si>
    <t>CMS</t>
  </si>
  <si>
    <t>Công ty Cổ phần Tập đoàn CMH Việt Nam</t>
  </si>
  <si>
    <t>CMP</t>
  </si>
  <si>
    <t>Công ty Cổ phần Cảng Chân Mây</t>
  </si>
  <si>
    <t>CMN</t>
  </si>
  <si>
    <t>Công ty Cổ phần Lương thực Thực phẩm Colusa - Miliket</t>
  </si>
  <si>
    <t>CMM</t>
  </si>
  <si>
    <t>Công ty Cổ phần Camimex</t>
  </si>
  <si>
    <t>CMK</t>
  </si>
  <si>
    <t>Công ty Cổ phần Cơ khí Mạo Khê - Vinacomin</t>
  </si>
  <si>
    <t>CMI</t>
  </si>
  <si>
    <t>Công ty Cổ phần CMISTONE Việt Nam</t>
  </si>
  <si>
    <t>CMG</t>
  </si>
  <si>
    <t>Công ty Cổ phần Tập đoàn Công nghệ CMC</t>
  </si>
  <si>
    <t>CMF</t>
  </si>
  <si>
    <t>Công ty Cổ phần Thực phẩm Cholimex</t>
  </si>
  <si>
    <t>CMD</t>
  </si>
  <si>
    <t>Công ty Cổ phần Vật liệu xây dựng và Trang trí nội thất TP Hồ Chí Minh</t>
  </si>
  <si>
    <t>CMC</t>
  </si>
  <si>
    <t>Công ty Cổ phần Đầu tư CMC</t>
  </si>
  <si>
    <t>CLX</t>
  </si>
  <si>
    <t>Công ty Cổ phần Xuất nhập khẩu và Đầu tư Chợ Lớn (CHOLIMEX)</t>
  </si>
  <si>
    <t>CLW</t>
  </si>
  <si>
    <t>Công ty Cổ phần Cấp nước Chợ Lớn</t>
  </si>
  <si>
    <t>CLM</t>
  </si>
  <si>
    <t>Công ty Cổ phần Xuất nhập khẩu Than - Vinacomin</t>
  </si>
  <si>
    <t>CLL</t>
  </si>
  <si>
    <t>Công ty Cổ phần Cảng Cát Lái</t>
  </si>
  <si>
    <t>CLH</t>
  </si>
  <si>
    <t>Công ty Cổ phần Xi măng La Hiên VVMI</t>
  </si>
  <si>
    <t>CLG</t>
  </si>
  <si>
    <t>Công ty Cổ phần Đầu tư và Phát triển Nhà đất Cotec</t>
  </si>
  <si>
    <t>CLC</t>
  </si>
  <si>
    <t>Công ty Cổ phần Cát Lợi</t>
  </si>
  <si>
    <t>CKV</t>
  </si>
  <si>
    <t>Công ty Cổ phần CokyVina</t>
  </si>
  <si>
    <t>CKG</t>
  </si>
  <si>
    <t>Công ty Cổ phần Tập đoàn CIC</t>
  </si>
  <si>
    <t>CKD</t>
  </si>
  <si>
    <t>Công ty Cổ phần Cơ khí Đông Anh Licogi</t>
  </si>
  <si>
    <t>CKA</t>
  </si>
  <si>
    <t>Công ty Cổ phần Cơ khí An Giang</t>
  </si>
  <si>
    <t>CK8</t>
  </si>
  <si>
    <t>Công ty Cổ phần Cơ khí 120</t>
  </si>
  <si>
    <t>CJC</t>
  </si>
  <si>
    <t>Công ty Cổ phần Cơ điện Miền Trung</t>
  </si>
  <si>
    <t>CIP</t>
  </si>
  <si>
    <t>Công ty Cổ phần Xây lắp và Sản xuất Công nghiệp</t>
  </si>
  <si>
    <t>CII</t>
  </si>
  <si>
    <t>Công ty Cổ phần Đầu tư Hạ tầng Kỹ thuật Thành phố Hồ Chí Minh</t>
  </si>
  <si>
    <t>CIG</t>
  </si>
  <si>
    <t>Công ty Cổ phần COMA 18</t>
  </si>
  <si>
    <t>CID</t>
  </si>
  <si>
    <t>Công ty Cổ phần Xây dựng và Phát triển Cơ sở Hạ tầng</t>
  </si>
  <si>
    <t>CIA</t>
  </si>
  <si>
    <t>Công ty Cổ Phần Dịch Vụ Sân Bay Quốc Tế Cam Ranh</t>
  </si>
  <si>
    <t>CI5</t>
  </si>
  <si>
    <t>Công ty Cổ phần Đầu tư Xây dựng số 5</t>
  </si>
  <si>
    <t>CHS</t>
  </si>
  <si>
    <t>Công ty Cổ phần Chiếu sáng Công cộng Thành phố Hồ Chí Minh</t>
  </si>
  <si>
    <t>CHP</t>
  </si>
  <si>
    <t>Công ty Cổ phần Thủy điện Miền Trung</t>
  </si>
  <si>
    <t>CHC</t>
  </si>
  <si>
    <t>Công ty Cổ phần Cẩm Hà</t>
  </si>
  <si>
    <t>CH5</t>
  </si>
  <si>
    <t>Công ty Cổ phần Xây dựng số 5 Hà Nội</t>
  </si>
  <si>
    <t>CGV</t>
  </si>
  <si>
    <t>Công ty Cổ phần Vinaceglass</t>
  </si>
  <si>
    <t>CGL</t>
  </si>
  <si>
    <t>Công ty Cổ phần Thương mại Gia Lai</t>
  </si>
  <si>
    <t>CFV</t>
  </si>
  <si>
    <t>Công ty Cổ phần Cà phê Thắng Lợi</t>
  </si>
  <si>
    <t>CFM</t>
  </si>
  <si>
    <t>Công ty Cổ phần Đầu tư CFM</t>
  </si>
  <si>
    <t>CET</t>
  </si>
  <si>
    <t>Công ty Cổ phần HTC Holding</t>
  </si>
  <si>
    <t>CEO</t>
  </si>
  <si>
    <t>Công ty Cổ phần Tập đoàn C.E.O</t>
  </si>
  <si>
    <t>CEN</t>
  </si>
  <si>
    <t>Công ty Cổ phần CENCON Việt Nam</t>
  </si>
  <si>
    <t>CEG</t>
  </si>
  <si>
    <t>Công ty Cổ phần Tập đoàn Xây dựng và Thiết bị Công nghiệp</t>
  </si>
  <si>
    <t>CEE</t>
  </si>
  <si>
    <t>Công ty Cổ phần Xây dựng Hạ tầng CII</t>
  </si>
  <si>
    <t>CE1</t>
  </si>
  <si>
    <t>Công ty Cổ phần Xây dựng và Thiết bị Công nghiệp CIE1</t>
  </si>
  <si>
    <t>CDR</t>
  </si>
  <si>
    <t>Công ty Cổ phần Xây dựng Cao su Đồng Nai</t>
  </si>
  <si>
    <t>CDP</t>
  </si>
  <si>
    <t>Công ty Cổ phần Dược phẩm Trung ương Codupha</t>
  </si>
  <si>
    <t>CDO</t>
  </si>
  <si>
    <t>Công ty Cổ phần Tư vấn Thiết kế và Phát triển Đô thị</t>
  </si>
  <si>
    <t>CDN</t>
  </si>
  <si>
    <t>Công ty Cổ phần Cảng Đà Nẵng</t>
  </si>
  <si>
    <t>CDH</t>
  </si>
  <si>
    <t>Công ty Cổ phần Công trình Công cộng và Dịch vụ Du lịch Hải Phòng</t>
  </si>
  <si>
    <t>CDG</t>
  </si>
  <si>
    <t>Công ty Cổ phần Cầu Đuống</t>
  </si>
  <si>
    <t>CDC</t>
  </si>
  <si>
    <t>Công ty Cổ phần Chương Dương</t>
  </si>
  <si>
    <t>CCV</t>
  </si>
  <si>
    <t>Công ty Cổ phần Tư vấn Xây dựng Công nghiệp và Đô thị Việt Nam</t>
  </si>
  <si>
    <t>CCT</t>
  </si>
  <si>
    <t>Công ty Cổ phần Cảng Cần Thơ</t>
  </si>
  <si>
    <t>CCR</t>
  </si>
  <si>
    <t>Công ty Cổ phần Cảng Cam Ranh</t>
  </si>
  <si>
    <t>CCP</t>
  </si>
  <si>
    <t>Công ty Cổ phần Cảng Cửa Cấm Hải Phòng</t>
  </si>
  <si>
    <t>CCM</t>
  </si>
  <si>
    <t>Công ty Cổ phần Khoáng sản và Xi măng Cần Thơ</t>
  </si>
  <si>
    <t>CCL</t>
  </si>
  <si>
    <t>Công ty Cổ phần Đầu tư và Phát triển Đô thị Dầu khí Cửu Long</t>
  </si>
  <si>
    <t>CCI</t>
  </si>
  <si>
    <t>Công ty Cổ phần Đầu tư Phát triển Công nghiệp Thương mại Củ Chi</t>
  </si>
  <si>
    <t>CCC</t>
  </si>
  <si>
    <t>Công ty Cổ Phần Xây Dựng CDC</t>
  </si>
  <si>
    <t>CCA</t>
  </si>
  <si>
    <t>Công ty Cổ phần Xuất nhập khẩu Thủy sản Cần Thơ</t>
  </si>
  <si>
    <t>CC4</t>
  </si>
  <si>
    <t>Công ty Cổ phần Đầu tư và Xây dựng số 4</t>
  </si>
  <si>
    <t>CC1</t>
  </si>
  <si>
    <t>Tổng Công ty Xây dựng số 1 - CTCP</t>
  </si>
  <si>
    <t>CBS</t>
  </si>
  <si>
    <t>Công ty Cổ phần Mía đường Cao Bằng</t>
  </si>
  <si>
    <t>CBI</t>
  </si>
  <si>
    <t>Công ty Cổ phần Gang thép Cao Bằng</t>
  </si>
  <si>
    <t>CAV</t>
  </si>
  <si>
    <t>Công ty Cổ Phần Dây cáp điện Việt Nam</t>
  </si>
  <si>
    <t>CAT</t>
  </si>
  <si>
    <t>Công ty Cổ phần Thủy sản Cà Mau</t>
  </si>
  <si>
    <t>CAR</t>
  </si>
  <si>
    <t>Công ty cổ phần Tập đoàn Giáo dục Trí Việt</t>
  </si>
  <si>
    <t>CAP</t>
  </si>
  <si>
    <t>Công ty Cổ phần Lâm Nông sản Thực phẩm Yên Bái</t>
  </si>
  <si>
    <t>CAN</t>
  </si>
  <si>
    <t>Công ty Cổ phần Đồ hộp Hạ Long</t>
  </si>
  <si>
    <t>CAG</t>
  </si>
  <si>
    <t>Công ty Cổ phần Cảng An Giang</t>
  </si>
  <si>
    <t>CAD</t>
  </si>
  <si>
    <t>Công ty Cổ phần Chế biến và Xuất khẩu Thủy sản Cadovimex</t>
  </si>
  <si>
    <t>CAB</t>
  </si>
  <si>
    <t>Công ty Cổ phần Tổng Công ty Truyền hình Cáp Việt Nam</t>
  </si>
  <si>
    <t>C92</t>
  </si>
  <si>
    <t>Công ty Cổ phần Xây dựng và Đầu tư 492</t>
  </si>
  <si>
    <t>C69</t>
  </si>
  <si>
    <t>Công ty Cổ phần Xây dựng 1369</t>
  </si>
  <si>
    <t>C4G</t>
  </si>
  <si>
    <t>Công ty Cổ phần Tập Đoàn Cienco4</t>
  </si>
  <si>
    <t>C47</t>
  </si>
  <si>
    <t>Công ty Cổ phần Xây dựng 47</t>
  </si>
  <si>
    <t>C32</t>
  </si>
  <si>
    <t>Công ty Cổ phần Đầu tư và Xây dựng 3-2</t>
  </si>
  <si>
    <t>C22</t>
  </si>
  <si>
    <t>Công ty Cổ phần 22</t>
  </si>
  <si>
    <t>C21</t>
  </si>
  <si>
    <t>Công ty Cổ phần Thế kỷ 21</t>
  </si>
  <si>
    <t>C12</t>
  </si>
  <si>
    <t>Công ty Cổ phần Cầu 12</t>
  </si>
  <si>
    <t>BXT</t>
  </si>
  <si>
    <t>BXH</t>
  </si>
  <si>
    <t>Công ty Cổ phần VICEM Bao bì Hải Phòng</t>
  </si>
  <si>
    <t>BWS</t>
  </si>
  <si>
    <t>Công ty Cổ phần Cấp Nước Bà Rịa - Vũng Tàu</t>
  </si>
  <si>
    <t>BWE</t>
  </si>
  <si>
    <t>Công ty Cổ phần - Tổng công ty Nước - Môi trường Bình Dương</t>
  </si>
  <si>
    <t>BWA</t>
  </si>
  <si>
    <t>Công ty Cổ phần Cấp thoát nước và Xây dựng Bảo Lộc</t>
  </si>
  <si>
    <t>BVS</t>
  </si>
  <si>
    <t>Công ty Cổ phần Chứng khoán Bảo Việt</t>
  </si>
  <si>
    <t>BVN</t>
  </si>
  <si>
    <t>Công ty Cổ phần Bông Việt Nam</t>
  </si>
  <si>
    <t>BVL</t>
  </si>
  <si>
    <t>Công ty Cổ phần BV Land</t>
  </si>
  <si>
    <t>BVH</t>
  </si>
  <si>
    <t>Tập đoàn Bảo Việt</t>
  </si>
  <si>
    <t>BVG</t>
  </si>
  <si>
    <t>Công ty Cổ phần Group Bắc Việt</t>
  </si>
  <si>
    <t>BVB</t>
  </si>
  <si>
    <t>Ngân hàng Thương mại Cổ phần Bản Việt</t>
  </si>
  <si>
    <t>BUD</t>
  </si>
  <si>
    <t>BTW</t>
  </si>
  <si>
    <t>Công ty Cổ phần Cấp nước Bến Thành</t>
  </si>
  <si>
    <t>BTV</t>
  </si>
  <si>
    <t>Công ty Cổ phần Dịch vụ Du lịch Bến Thành</t>
  </si>
  <si>
    <t>BTU</t>
  </si>
  <si>
    <t>Công ty Cổ phần Công trình Đô thị Bến Tre</t>
  </si>
  <si>
    <t>BTT</t>
  </si>
  <si>
    <t>Công ty Cổ phần Thương mại - Dịch vụ Bến Thành</t>
  </si>
  <si>
    <t>BTS</t>
  </si>
  <si>
    <t>Công ty Cổ phần Xi măng VICEM Bút Sơn</t>
  </si>
  <si>
    <t>BTP</t>
  </si>
  <si>
    <t>Công ty Cổ phần Nhiệt điện Bà Rịa</t>
  </si>
  <si>
    <t>BTN</t>
  </si>
  <si>
    <t>Công ty Cổ phần Đầu tư Bitco Bình Định</t>
  </si>
  <si>
    <t>BTH</t>
  </si>
  <si>
    <t>Công ty Cổ phần Chế tạo Biến thế và Vật liệu Điện Hà Nội</t>
  </si>
  <si>
    <t>BTG</t>
  </si>
  <si>
    <t>Công ty Cổ phần Bao bì Tiền Giang</t>
  </si>
  <si>
    <t>BTD</t>
  </si>
  <si>
    <t>Công ty Cổ phần Bê tông ly tâm Thủ Đức</t>
  </si>
  <si>
    <t>BTB</t>
  </si>
  <si>
    <t>Công ty Cổ phần Bia Hà Nội - Thái Bình</t>
  </si>
  <si>
    <t>BT6</t>
  </si>
  <si>
    <t>Công ty Cổ phần BETON 6</t>
  </si>
  <si>
    <t>BT1</t>
  </si>
  <si>
    <t>Công ty Cổ phần Bảo vệ thực vật 1 Trung ương</t>
  </si>
  <si>
    <t>BST</t>
  </si>
  <si>
    <t>Công ty Cổ phần Sách và Thiết bị Bình Thuận</t>
  </si>
  <si>
    <t>BSR</t>
  </si>
  <si>
    <t>Công ty Cổ phần Lọc Hóa dầu Bình Sơn</t>
  </si>
  <si>
    <t>BSQ</t>
  </si>
  <si>
    <t>Công ty Cổ phần Bia Sài Gòn - Quảng Ngãi</t>
  </si>
  <si>
    <t>BSP</t>
  </si>
  <si>
    <t>Công ty Cổ phần Bia Sài Gòn - Phú Thọ</t>
  </si>
  <si>
    <t>BSL</t>
  </si>
  <si>
    <t>Công ty Cổ phần Bia Sài Gòn - Sông Lam</t>
  </si>
  <si>
    <t>BSI</t>
  </si>
  <si>
    <t>Công ty Cổ phần Chứng khoán BIDV</t>
  </si>
  <si>
    <t>BSH</t>
  </si>
  <si>
    <t>Công ty Cổ phần Bia Sài Gòn - Hà Nội</t>
  </si>
  <si>
    <t>BSG</t>
  </si>
  <si>
    <t>Công ty Cổ phần Xe khách Sài Gòn</t>
  </si>
  <si>
    <t>BSD</t>
  </si>
  <si>
    <t>Công ty Cổ phần Bia, Rượu Sài Gòn - Đồng Xuân</t>
  </si>
  <si>
    <t>BSC</t>
  </si>
  <si>
    <t>Công ty Cổ phần Dịch vụ Bến Thành</t>
  </si>
  <si>
    <t>BSA</t>
  </si>
  <si>
    <t>Công ty Cổ phần Thủy điện Buôn Đôn</t>
  </si>
  <si>
    <t>BRS</t>
  </si>
  <si>
    <t>Công ty Cổ phần Dịch vụ Đô thị Bà Rịa</t>
  </si>
  <si>
    <t>BRR</t>
  </si>
  <si>
    <t>Công ty Cổ phần Cao su Bà Rịa</t>
  </si>
  <si>
    <t>BRC</t>
  </si>
  <si>
    <t>Công ty Cổ phần Cao su Bến Thành</t>
  </si>
  <si>
    <t>BQP</t>
  </si>
  <si>
    <t>Công ty Cổ phần Nhựa chất lượng cao Bình Thuận</t>
  </si>
  <si>
    <t>BQB</t>
  </si>
  <si>
    <t>Công ty Cổ phần Bia Hà Nội - Quảng Bình</t>
  </si>
  <si>
    <t>BPW</t>
  </si>
  <si>
    <t>BPC</t>
  </si>
  <si>
    <t>Công ty Cổ phần Vicem Bao bì Bỉm Sơn</t>
  </si>
  <si>
    <t>BOT</t>
  </si>
  <si>
    <t>Công ty Cổ phần BOT Cầu Thái Hà</t>
  </si>
  <si>
    <t>BNW</t>
  </si>
  <si>
    <t>Công ty Cổ phần Nước sạch Bắc Ninh</t>
  </si>
  <si>
    <t>BNA</t>
  </si>
  <si>
    <t>Công ty Cổ phần Tập đoàn Đầu tư Bảo Ngọc</t>
  </si>
  <si>
    <t>BMV</t>
  </si>
  <si>
    <t>Công ty Cổ phần Bột mỳ Vinafood 1</t>
  </si>
  <si>
    <t>BMS</t>
  </si>
  <si>
    <t>Công ty Cổ phần Chứng khoán Bảo Minh</t>
  </si>
  <si>
    <t>BMP</t>
  </si>
  <si>
    <t>Công ty Cổ phần Nhựa Bình Minh</t>
  </si>
  <si>
    <t>BMN</t>
  </si>
  <si>
    <t>Công ty Cổ phần 715</t>
  </si>
  <si>
    <t>BMK</t>
  </si>
  <si>
    <t>Công ty Cổ Phần Kỹ thuật Nhiệt Mèo Đen</t>
  </si>
  <si>
    <t>BMJ</t>
  </si>
  <si>
    <t>Công ty Cổ phần Khoáng sản Miền Đông AHP</t>
  </si>
  <si>
    <t>BMI</t>
  </si>
  <si>
    <t>Tổng Công ty Cổ phần Bảo Minh</t>
  </si>
  <si>
    <t>BMG</t>
  </si>
  <si>
    <t>Công ty Cổ phần May Bình Minh</t>
  </si>
  <si>
    <t>BMF</t>
  </si>
  <si>
    <t>Công ty Cổ phần Vật liệu Xây dựng và Chất đốt Đồng Nai</t>
  </si>
  <si>
    <t>BMD</t>
  </si>
  <si>
    <t>Công ty Cổ phần Môi trường và Dịch vụ Đô thị Bình Thuận</t>
  </si>
  <si>
    <t>BMC</t>
  </si>
  <si>
    <t>Công ty Cổ phần Khoáng sản Bình Định</t>
  </si>
  <si>
    <t>BLW</t>
  </si>
  <si>
    <t>Công ty Cổ phần Cấp nước Bạc Liêu</t>
  </si>
  <si>
    <t>BLU</t>
  </si>
  <si>
    <t>BLT</t>
  </si>
  <si>
    <t>Công ty Cổ phần Lương thực Bình Định</t>
  </si>
  <si>
    <t>BLN</t>
  </si>
  <si>
    <t>Công ty Cổ phần Vận tải và Dịch vụ Liên Ninh</t>
  </si>
  <si>
    <t>BLI</t>
  </si>
  <si>
    <t>Tổng Công ty Cổ phần Bảo hiểm Bảo Long</t>
  </si>
  <si>
    <t>BLF</t>
  </si>
  <si>
    <t>Công ty Cổ phần Thủy sản Bạc Liêu</t>
  </si>
  <si>
    <t>BKH</t>
  </si>
  <si>
    <t>Công ty Cổ phần Bánh mứt kẹo Hà Nội</t>
  </si>
  <si>
    <t>BKG</t>
  </si>
  <si>
    <t>Công ty Cổ phần Đầu tư BKG Việt Nam</t>
  </si>
  <si>
    <t>BKC</t>
  </si>
  <si>
    <t>Công ty Cổ phần Khoáng sản Bắc Kạn</t>
  </si>
  <si>
    <t>BIO</t>
  </si>
  <si>
    <t>Công ty Cổ phần Vắc xin và Sinh phẩm Nha Trang</t>
  </si>
  <si>
    <t>BII</t>
  </si>
  <si>
    <t>Công ty Cổ phần Đầu tư và Phát triển Công nghiệp Bảo Thư</t>
  </si>
  <si>
    <t>BIG</t>
  </si>
  <si>
    <t>Công ty Cổ phần Đầu tư BIG Group Holdings</t>
  </si>
  <si>
    <t>BID</t>
  </si>
  <si>
    <t>Ngân hàng Thương mại Cổ phần Đầu tư và Phát triển Việt Nam</t>
  </si>
  <si>
    <t>BIC</t>
  </si>
  <si>
    <t>Tổng Công ty Cổ phần Bảo hiểm Ngân hàng Đầu tư và Phát triển Việt Nam</t>
  </si>
  <si>
    <t>BHT</t>
  </si>
  <si>
    <t>Công ty Cổ phần Đầu tư Xây dựng Bạch Đằng TMC</t>
  </si>
  <si>
    <t>BHP</t>
  </si>
  <si>
    <t>Công ty Cổ phần Bia Hà Nội - Hải Phòng</t>
  </si>
  <si>
    <t>BHN</t>
  </si>
  <si>
    <t>Tổng Công ty Cổ phần Bia - Rượu - Nước giải khát Hà Nội</t>
  </si>
  <si>
    <t>BHK</t>
  </si>
  <si>
    <t>Công ty Cổ phần Bia Hà Nội - Kim Bài</t>
  </si>
  <si>
    <t>BHI</t>
  </si>
  <si>
    <t>Tổng Công ty Cổ phần Bảo hiểm Sài Gòn - Hà Nội</t>
  </si>
  <si>
    <t>BHH</t>
  </si>
  <si>
    <t>Công ty Cổ Phần Bia Hà Nội - Hưng Yên 89</t>
  </si>
  <si>
    <t>BHG</t>
  </si>
  <si>
    <t>Công ty Cổ phần Chè Biển Hồ</t>
  </si>
  <si>
    <t>BHC</t>
  </si>
  <si>
    <t>Công ty Cổ phần Bê tông Biên Hòa</t>
  </si>
  <si>
    <t>BHA</t>
  </si>
  <si>
    <t>Công ty Cổ phần Thủy điện Bắc Hà</t>
  </si>
  <si>
    <t>BGW</t>
  </si>
  <si>
    <t>Công ty Cổ phần Nước sạch Bắc Giang</t>
  </si>
  <si>
    <t>BGE</t>
  </si>
  <si>
    <t>Công ty Cổ phần BCG Energy</t>
  </si>
  <si>
    <t>BFC</t>
  </si>
  <si>
    <t>Công ty Cổ phần Phân bón Bình Điền</t>
  </si>
  <si>
    <t>BEL</t>
  </si>
  <si>
    <t>Công ty Cổ phần Điện tử Biên Hòa</t>
  </si>
  <si>
    <t>BED</t>
  </si>
  <si>
    <t>Công ty Cổ phần Sách và Thiết bị trường học Đà Nẵng</t>
  </si>
  <si>
    <t>BDW</t>
  </si>
  <si>
    <t>Công ty Cổ phần Cấp thoát nước Bình Định</t>
  </si>
  <si>
    <t>BDT</t>
  </si>
  <si>
    <t>Công ty Cổ phần Xây lắp và Vật liệu xây dựng Đồng Tháp</t>
  </si>
  <si>
    <t>BDG</t>
  </si>
  <si>
    <t>Công ty Cổ phần May mặc Bình Dương</t>
  </si>
  <si>
    <t>BDB</t>
  </si>
  <si>
    <t>Công ty Cổ phần Sách và Thiết bị Bình Định</t>
  </si>
  <si>
    <t>BCV</t>
  </si>
  <si>
    <t>Công ty Cổ phần Du lịch và Thương mại Bằng Giang Cao Bằng - Vimico</t>
  </si>
  <si>
    <t>BCR</t>
  </si>
  <si>
    <t>Công ty Cổ phần BCG Land</t>
  </si>
  <si>
    <t>BCP</t>
  </si>
  <si>
    <t>Công ty Cổ phần Dược Enlie</t>
  </si>
  <si>
    <t>BCO</t>
  </si>
  <si>
    <t>Công ty Cổ phần Xây dựng Bình Phước</t>
  </si>
  <si>
    <t>BCM</t>
  </si>
  <si>
    <t>Tập đoàn Đầu tư và Phát triển Công nghiệp Becamex - CTCP</t>
  </si>
  <si>
    <t>BCG</t>
  </si>
  <si>
    <t>Công ty Cổ phần Tập đoàn Bamboo Capital</t>
  </si>
  <si>
    <t>BCF</t>
  </si>
  <si>
    <t>Công ty Cổ phần Thực phẩm Bích Chi</t>
  </si>
  <si>
    <t>BCE</t>
  </si>
  <si>
    <t>Công ty Cổ phần Xây dựng và Giao thông Bình Dương</t>
  </si>
  <si>
    <t>BCC</t>
  </si>
  <si>
    <t>Công ty Cổ phần Xi măng Bỉm Sơn</t>
  </si>
  <si>
    <t>BCB</t>
  </si>
  <si>
    <t>Công ty Cổ phần 397</t>
  </si>
  <si>
    <t>BCA</t>
  </si>
  <si>
    <t>Công ty cổ phần B.C.H</t>
  </si>
  <si>
    <t>BBT</t>
  </si>
  <si>
    <t>Công ty Cổ phần Bông Bạch Tuyết</t>
  </si>
  <si>
    <t>BBS</t>
  </si>
  <si>
    <t>Công ty Cổ phần VICEM Bao bì Bút Sơn</t>
  </si>
  <si>
    <t>BBM</t>
  </si>
  <si>
    <t>Công ty Cổ phần Bia Hà Nội - Nam Định</t>
  </si>
  <si>
    <t>BBH</t>
  </si>
  <si>
    <t>Công ty Cổ phần Bao bì Hoàng Thạch</t>
  </si>
  <si>
    <t>BBC</t>
  </si>
  <si>
    <t>Công ty Cổ phần Bibica</t>
  </si>
  <si>
    <t>BAX</t>
  </si>
  <si>
    <t>Công ty Cổ phần Thống Nhất</t>
  </si>
  <si>
    <t>BAL</t>
  </si>
  <si>
    <t>Công ty Cổ phần Bao bì Bia - Rượu - Nước giải khát</t>
  </si>
  <si>
    <t>BAF</t>
  </si>
  <si>
    <t>Công ty Cổ phần Nông nghiệp BAF Việt Nam</t>
  </si>
  <si>
    <t>BAB</t>
  </si>
  <si>
    <t>Ngân hàng Thương mại Cổ phần Bắc Á</t>
  </si>
  <si>
    <t>B82</t>
  </si>
  <si>
    <t>Công ty Cổ phần 482</t>
  </si>
  <si>
    <t>AVG</t>
  </si>
  <si>
    <t>Công ty Cổ phần Phân Bón Quốc Tế Âu Việt</t>
  </si>
  <si>
    <t>AVF</t>
  </si>
  <si>
    <t>Công ty Cổ phần Việt An</t>
  </si>
  <si>
    <t>AVC</t>
  </si>
  <si>
    <t>Công ty Cổ phần Thủy điện A Vương</t>
  </si>
  <si>
    <t>AUM</t>
  </si>
  <si>
    <t>Công ty Cổ phần Vinacafe Sơn Thành</t>
  </si>
  <si>
    <t>ATS</t>
  </si>
  <si>
    <t>Công ty Cổ phần Tập đoàn Đầu tư ATS</t>
  </si>
  <si>
    <t>ATG</t>
  </si>
  <si>
    <t>Công ty Cổ phần ATG Planet</t>
  </si>
  <si>
    <t>ATB</t>
  </si>
  <si>
    <t>Công ty Cổ phần An Thịnh</t>
  </si>
  <si>
    <t>ATA</t>
  </si>
  <si>
    <t>Công ty Cổ phần NTACO</t>
  </si>
  <si>
    <t>AST</t>
  </si>
  <si>
    <t>Công ty Cổ phần Dịch vụ Hàng không Taseco</t>
  </si>
  <si>
    <t>ASP</t>
  </si>
  <si>
    <t>Công ty Cổ phần Tập đoàn Dầu khí An Pha</t>
  </si>
  <si>
    <t>ASM</t>
  </si>
  <si>
    <t>Công ty Cổ phần Tập đoàn Sao Mai</t>
  </si>
  <si>
    <t>ASG</t>
  </si>
  <si>
    <t>Công ty Cổ phần Tập đoàn ASG</t>
  </si>
  <si>
    <t>ASA</t>
  </si>
  <si>
    <t>Công ty Cổ phần ASA</t>
  </si>
  <si>
    <t>ART</t>
  </si>
  <si>
    <t>Công ty Cổ phần Chứng khoán ARTEX</t>
  </si>
  <si>
    <t>ARM</t>
  </si>
  <si>
    <t>Công ty Cổ phần Xuất nhập khẩu Hàng không</t>
  </si>
  <si>
    <t>APT</t>
  </si>
  <si>
    <t>Công ty Cổ phần Kinh doanh thủy hải sản Sài Gòn</t>
  </si>
  <si>
    <t>APS</t>
  </si>
  <si>
    <t>Công ty Cổ phần Chứng khoán Châu Á - Thái Bình Dương</t>
  </si>
  <si>
    <t>APP</t>
  </si>
  <si>
    <t>Công ty Cổ phần Phát triển Phụ gia và Sản phẩm dầu mỏ</t>
  </si>
  <si>
    <t>APL</t>
  </si>
  <si>
    <t>Công ty Cổ phần Cơ khí và Thiết bị áp lực - VVMI</t>
  </si>
  <si>
    <t>API</t>
  </si>
  <si>
    <t>Công ty Cổ phần Đầu tư Châu Á - Thái Bình Dương</t>
  </si>
  <si>
    <t>APH</t>
  </si>
  <si>
    <t>Công ty Cổ phần Tập đoàn An Phát Holdings</t>
  </si>
  <si>
    <t>APG</t>
  </si>
  <si>
    <t>Công ty Cổ phần Chứng khoán APG</t>
  </si>
  <si>
    <t>APF</t>
  </si>
  <si>
    <t>Công ty Cổ phần Nông sản Thực phẩm Quảng Ngãi</t>
  </si>
  <si>
    <t>APC</t>
  </si>
  <si>
    <t>Công ty Cổ phần Chiếu xạ An Phú</t>
  </si>
  <si>
    <t>ANV</t>
  </si>
  <si>
    <t>ANT</t>
  </si>
  <si>
    <t>Công ty Cổ phần Rau quả Thực phẩm An Giang</t>
  </si>
  <si>
    <t>AMV</t>
  </si>
  <si>
    <t>Công ty Cổ phần Sản xuất Kinh doanh Dược và Trang thiết bị Y tế Việt Mỹ</t>
  </si>
  <si>
    <t>AMS</t>
  </si>
  <si>
    <t>Công ty Cổ phần Cơ khí Xây dựng AMECC</t>
  </si>
  <si>
    <t>AMP</t>
  </si>
  <si>
    <t>Công ty Cổ phần Armephaco</t>
  </si>
  <si>
    <t>AME</t>
  </si>
  <si>
    <t>Công ty cổ phần Alphanam E&amp;C</t>
  </si>
  <si>
    <t>AMD</t>
  </si>
  <si>
    <t>Công ty Cổ phần Đầu tư và Khoáng sản FLC Stone</t>
  </si>
  <si>
    <t>AMC</t>
  </si>
  <si>
    <t>Công ty Cổ phần Khoáng sản Á Châu</t>
  </si>
  <si>
    <t>ALV</t>
  </si>
  <si>
    <t>Công ty Cổ phần Tập đoàn MCST</t>
  </si>
  <si>
    <t>ALT</t>
  </si>
  <si>
    <t>Công ty Cổ phần Văn hóa Tân Bình</t>
  </si>
  <si>
    <t>AIG</t>
  </si>
  <si>
    <t>Công ty Cổ phần Nguyên liệu Á Châu AIG</t>
  </si>
  <si>
    <t>AIC</t>
  </si>
  <si>
    <t>Công ty Cổ phần Tập đoàn Bảo hiểm DBV</t>
  </si>
  <si>
    <t>AGX</t>
  </si>
  <si>
    <t>Công ty Cổ phần Thực phẩm Nông sản Xuất khẩu Sài Gòn</t>
  </si>
  <si>
    <t>AGR</t>
  </si>
  <si>
    <t>Công ty Cổ phần Chứng khoán AGRIBANK</t>
  </si>
  <si>
    <t>AGP</t>
  </si>
  <si>
    <t>Công ty Cổ phần Dược phẩm AGIMEXPHARM</t>
  </si>
  <si>
    <t>AGM</t>
  </si>
  <si>
    <t>Công ty Cổ phần Xuất nhập khẩu An Giang</t>
  </si>
  <si>
    <t>AGG</t>
  </si>
  <si>
    <t>Công ty Cổ phần Đầu tư và Phát triển Bất động sản An Gia</t>
  </si>
  <si>
    <t>AGF</t>
  </si>
  <si>
    <t>Công ty Cổ phần Xuất nhập khẩu Thủy sản An Giang</t>
  </si>
  <si>
    <t>AGE</t>
  </si>
  <si>
    <t>Công ty Cổ phần Môi trường Đô thị An Giang</t>
  </si>
  <si>
    <t>AG1</t>
  </si>
  <si>
    <t>Công ty Cổ phần 28.1</t>
  </si>
  <si>
    <t>AFX</t>
  </si>
  <si>
    <t>Công ty Cổ phần Xuất Nhập khẩu Nông sản Thực phẩm An Giang</t>
  </si>
  <si>
    <t>ADS</t>
  </si>
  <si>
    <t>Công ty Cổ phần DAMSAN</t>
  </si>
  <si>
    <t>ADP</t>
  </si>
  <si>
    <t>Công ty Cổ phần Sơn Á Đông</t>
  </si>
  <si>
    <t>ADG</t>
  </si>
  <si>
    <t>Công ty Cổ phần Clever Group</t>
  </si>
  <si>
    <t>ADC</t>
  </si>
  <si>
    <t>Công ty Cổ phần Mĩ thuật và Truyền thông</t>
  </si>
  <si>
    <t>ACV</t>
  </si>
  <si>
    <t>Tổng Công ty Cảng Hàng không Việt Nam - CTCP</t>
  </si>
  <si>
    <t>ACS</t>
  </si>
  <si>
    <t>Công ty Cổ phần Xây lắp Thương mại 2</t>
  </si>
  <si>
    <t>ACM</t>
  </si>
  <si>
    <t>Công ty Cổ phần Tập đoàn Khoáng sản Á Cường</t>
  </si>
  <si>
    <t>ACL</t>
  </si>
  <si>
    <t>Công ty Cổ phần Xuất nhập khẩu Thủy sản Cửu Long An Giang</t>
  </si>
  <si>
    <t>ACG</t>
  </si>
  <si>
    <t>Công ty Cổ phần Gỗ An Cường</t>
  </si>
  <si>
    <t>ACE</t>
  </si>
  <si>
    <t>Công ty Cổ phần Bê tông ly tâm An Giang</t>
  </si>
  <si>
    <t>ACC</t>
  </si>
  <si>
    <t>Công ty Cổ phần Đầu tư và Xây dựng Bình Dương ACC</t>
  </si>
  <si>
    <t>Ngân hàng Thương mại Cổ phần Á Châu</t>
  </si>
  <si>
    <t>ABW</t>
  </si>
  <si>
    <t>Công ty Cổ phần Chứng khoán An Bình</t>
  </si>
  <si>
    <t>ABT</t>
  </si>
  <si>
    <t>Công ty Cổ phần Xuất nhập khẩu Thủy sản Bến Tre</t>
  </si>
  <si>
    <t>ABS</t>
  </si>
  <si>
    <t>Công ty Cổ phần Dịch vụ Nông nghiệp Bình Thuận</t>
  </si>
  <si>
    <t>ABR</t>
  </si>
  <si>
    <t>Công ty Cổ phần Đầu tư Nhãn Hiệu Việt</t>
  </si>
  <si>
    <t>ABI</t>
  </si>
  <si>
    <t>Công ty Cổ phần Bảo hiểm Ngân hàng Nông Nghiệp</t>
  </si>
  <si>
    <t>ABC</t>
  </si>
  <si>
    <t>Công ty Cổ phần Truyền thông VMG</t>
  </si>
  <si>
    <t>ABB</t>
  </si>
  <si>
    <t>Ngân hàng Thương mại Cổ phần An Bình</t>
  </si>
  <si>
    <t>AAV</t>
  </si>
  <si>
    <t>Công ty Cổ phần AAV Group</t>
  </si>
  <si>
    <t>AAT</t>
  </si>
  <si>
    <t>Công ty Cổ phần Tập đoàn Tiên Sơn Thanh Hóa</t>
  </si>
  <si>
    <t>AAS</t>
  </si>
  <si>
    <t>Công ty Cổ phần Chứng khoán SmartInvest</t>
  </si>
  <si>
    <t>AAM</t>
  </si>
  <si>
    <t>Công ty Cổ Phần Thủy Sản MeKong</t>
  </si>
  <si>
    <t>AAH</t>
  </si>
  <si>
    <t>Công ty Cổ phần Hợp Nhất</t>
  </si>
  <si>
    <t>AAA</t>
  </si>
  <si>
    <t>Công ty Cổ phần Nhựa An Phát Xanh</t>
  </si>
  <si>
    <t>A32</t>
  </si>
  <si>
    <t>Công ty Cổ phần 32</t>
  </si>
  <si>
    <t>Total</t>
  </si>
  <si>
    <t>Close Price</t>
  </si>
  <si>
    <t>Error</t>
  </si>
  <si>
    <t>Name</t>
  </si>
  <si>
    <t>Ticker</t>
  </si>
  <si>
    <t>ClosePrice</t>
  </si>
  <si>
    <t>PriceTime</t>
  </si>
  <si>
    <t>Broker</t>
  </si>
  <si>
    <t>Investment Value</t>
  </si>
  <si>
    <t>Status</t>
  </si>
  <si>
    <t>P/L</t>
  </si>
  <si>
    <t>% P/L</t>
  </si>
  <si>
    <t>Buy Price</t>
  </si>
  <si>
    <t>Budget</t>
  </si>
  <si>
    <t>Return Value</t>
  </si>
  <si>
    <t>Current Porfolio Value</t>
  </si>
  <si>
    <t>Total P/L</t>
  </si>
  <si>
    <t>Remaining Budget</t>
  </si>
  <si>
    <t>Performance</t>
  </si>
  <si>
    <t>Win rate</t>
  </si>
  <si>
    <t>Profit Factor</t>
  </si>
  <si>
    <t>Risk &amp; Exposure</t>
  </si>
  <si>
    <t>Open Exposure</t>
  </si>
  <si>
    <t>Close Exposure</t>
  </si>
  <si>
    <t>Realized P/L</t>
  </si>
  <si>
    <t>General</t>
  </si>
  <si>
    <t>Row Labels</t>
  </si>
  <si>
    <t>Grand Total</t>
  </si>
  <si>
    <t>Sum of P/L</t>
  </si>
  <si>
    <t>(All)</t>
  </si>
  <si>
    <t>Sum of Investment Value</t>
  </si>
  <si>
    <t>Expectancy ($)</t>
  </si>
  <si>
    <t>(1.5 = healthy, 2  = strong, &lt; 1.5 = bad)</t>
  </si>
  <si>
    <t>Expectancy (%)
(same investment value)</t>
  </si>
  <si>
    <t>Average Gain</t>
  </si>
  <si>
    <t>Average Loss</t>
  </si>
  <si>
    <t>Largest Position
(% of portfolio)</t>
  </si>
  <si>
    <t>Buy Date</t>
  </si>
  <si>
    <t>Sell Date</t>
  </si>
  <si>
    <t>Hit rate</t>
  </si>
  <si>
    <t>Total open positions</t>
  </si>
  <si>
    <t>Average Holding Days</t>
  </si>
  <si>
    <t>(higher means closing more frequently)</t>
  </si>
  <si>
    <t>% Stock Underwater</t>
  </si>
  <si>
    <t>Column Labels</t>
  </si>
  <si>
    <t>Max of Holding days</t>
  </si>
  <si>
    <t>Holding Days</t>
  </si>
  <si>
    <t>Demo</t>
  </si>
  <si>
    <t>(&gt; 0: profit, &lt; 0: loss. Higher is better strategy)</t>
  </si>
  <si>
    <t>(&gt; 1/2 expectation = good strategy, &gt; 1  = very good, &lt; 0 = bad)</t>
  </si>
  <si>
    <t>Last Update</t>
  </si>
  <si>
    <t>% Contribution P/L</t>
  </si>
  <si>
    <t>CLOSED</t>
  </si>
  <si>
    <t>Fee</t>
  </si>
  <si>
    <t>Expected Profit Rate</t>
  </si>
  <si>
    <t>Income</t>
  </si>
  <si>
    <t>Total Income</t>
  </si>
  <si>
    <t>Sum of Income</t>
  </si>
  <si>
    <t>2026-01-07 14:45:00</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</si>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</sst>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Red]&quot;₫&quot;#,##0"/>
    <numFmt numFmtId="165" formatCode="#,##0\ [$₫-42A]"/>
    <numFmt numFmtId="166" formatCode="#,##0\ [$₫-42A];[Red]#,##0\ [$₫-42A]"/>
    <numFmt numFmtId="167" formatCode="\(0.00%\);\(\-0.00%\)"/>
    <numFmt numFmtId="168" formatCode="[$-409]d\-mmm\-yyyy;@"/>
    <numFmt numFmtId="169" formatCode="#,##0\ [$₫-42A];[Red]\-#,##0\ [$₫-42A]"/>
    <numFmt numFmtId="170" formatCode="0.00%;[Red]\-0.00%"/>
  </numFmts>
  <fonts count="10" x14ac:knownFonts="1">
    <font>
      <sz val="12"/>
      <color theme="1"/>
      <name val="Aptos Narrow"/>
      <family val="2"/>
      <scheme val="minor"/>
    </font>
    <font>
      <sz val="8"/>
      <name val="Aptos Narrow"/>
      <family val="2"/>
      <scheme val="minor"/>
    </font>
    <font>
      <sz val="14"/>
      <color theme="0"/>
      <name val="Aptos Slab ExtraBold"/>
      <family val="2"/>
    </font>
    <font>
      <b/>
      <sz val="14"/>
      <color rgb="FFFFFFFF"/>
      <name val="Aptos Narrow"/>
      <family val="2"/>
    </font>
    <font>
      <sz val="14"/>
      <color theme="1"/>
      <name val="Aptos Narrow"/>
      <family val="2"/>
    </font>
    <font>
      <sz val="18"/>
      <color theme="0"/>
      <name val="Aptos Slab ExtraBold"/>
      <family val="2"/>
    </font>
    <font>
      <sz val="28"/>
      <color theme="0"/>
      <name val="Aptos Slab ExtraBold"/>
      <family val="2"/>
    </font>
    <font>
      <sz val="18"/>
      <color theme="4" tint="0.39997558519241921"/>
      <name val="Aptos Slab ExtraBold"/>
      <family val="2"/>
    </font>
    <font>
      <sz val="18"/>
      <color theme="3" tint="9.9978637043366805E-2"/>
      <name val="Aptos Slab ExtraBold"/>
      <family val="2"/>
    </font>
    <font>
      <b/>
      <sz val="26"/>
      <color theme="0"/>
      <name val="Aptos Slab ExtraBold"/>
      <family val="2"/>
    </font>
  </fonts>
  <fills count="4">
    <fill>
      <patternFill patternType="none"/>
    </fill>
    <fill>
      <patternFill patternType="gray125"/>
    </fill>
    <fill>
      <patternFill patternType="solid">
        <fgColor rgb="FF002060"/>
        <bgColor indexed="64"/>
      </patternFill>
    </fill>
    <fill>
      <patternFill patternType="solid">
        <fgColor theme="8" tint="-0.499984740745262"/>
        <bgColor indexed="64"/>
      </patternFill>
    </fill>
  </fills>
  <borders count="1">
    <border>
      <left/>
      <right/>
      <top/>
      <bottom/>
      <diagonal/>
    </border>
  </borders>
  <cellStyleXfs count="1">
    <xf numFmtId="0" fontId="0" fillId="0" borderId="0"/>
  </cellStyleXfs>
  <cellXfs count="45">
    <xf numFmtId="0" fontId="0" fillId="0" borderId="0" xfId="0"/>
    <xf numFmtId="0" fontId="2" fillId="2" borderId="0" xfId="0" applyFont="1" applyFill="1"/>
    <xf numFmtId="0" fontId="2" fillId="2" borderId="0" xfId="0" applyFont="1" applyFill="1" applyAlignment="1">
      <alignment vertical="center"/>
    </xf>
    <xf numFmtId="0" fontId="6" fillId="2" borderId="0" xfId="0" applyFont="1" applyFill="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165" fontId="5" fillId="2" borderId="0" xfId="0" applyNumberFormat="1" applyFont="1" applyFill="1" applyAlignment="1">
      <alignment vertical="center"/>
    </xf>
    <xf numFmtId="0" fontId="2" fillId="2" borderId="0" xfId="0" applyFont="1" applyFill="1" applyAlignment="1">
      <alignment horizontal="left" vertical="center" indent="1"/>
    </xf>
    <xf numFmtId="0" fontId="0" fillId="0" borderId="0" xfId="0" applyAlignment="1">
      <alignment horizontal="right"/>
    </xf>
    <xf numFmtId="3" fontId="0" fillId="0" borderId="0" xfId="0" applyNumberFormat="1"/>
    <xf numFmtId="0" fontId="2" fillId="2" borderId="0" xfId="0" applyFont="1" applyFill="1" applyAlignment="1">
      <alignment horizontal="right" vertical="center"/>
    </xf>
    <xf numFmtId="167" fontId="5" fillId="2" borderId="0" xfId="0" applyNumberFormat="1" applyFont="1" applyFill="1" applyAlignment="1">
      <alignment vertical="center"/>
    </xf>
    <xf numFmtId="0" fontId="2" fillId="2" borderId="0" xfId="0" applyFont="1" applyFill="1" applyAlignment="1">
      <alignment horizontal="right" vertical="center" wrapText="1"/>
    </xf>
    <xf numFmtId="165" fontId="7" fillId="2" borderId="0" xfId="0" applyNumberFormat="1" applyFont="1" applyFill="1" applyAlignment="1">
      <alignment vertical="center"/>
    </xf>
    <xf numFmtId="3" fontId="7" fillId="2" borderId="0" xfId="0" applyNumberFormat="1" applyFont="1" applyFill="1" applyAlignment="1">
      <alignment vertical="center"/>
    </xf>
    <xf numFmtId="10" fontId="7" fillId="2" borderId="0" xfId="0" applyNumberFormat="1" applyFont="1" applyFill="1" applyAlignment="1">
      <alignment vertical="center"/>
    </xf>
    <xf numFmtId="2" fontId="7" fillId="2" borderId="0" xfId="0" applyNumberFormat="1" applyFont="1" applyFill="1" applyAlignment="1">
      <alignment vertical="center"/>
    </xf>
    <xf numFmtId="4" fontId="8" fillId="2" borderId="0" xfId="0" applyNumberFormat="1" applyFont="1" applyFill="1" applyAlignment="1">
      <alignment vertical="center"/>
    </xf>
    <xf numFmtId="4" fontId="0" fillId="0" borderId="0" xfId="0" applyNumberFormat="1"/>
    <xf numFmtId="0" fontId="0" fillId="0" borderId="0" xfId="0" applyAlignment="1">
      <alignment vertical="center"/>
    </xf>
    <xf numFmtId="0" fontId="3" fillId="0" borderId="0" xfId="0" applyFont="1" applyAlignment="1">
      <alignment vertical="center"/>
    </xf>
    <xf numFmtId="3" fontId="3" fillId="0" borderId="0" xfId="0" applyNumberFormat="1" applyFont="1" applyAlignment="1">
      <alignment vertical="center"/>
    </xf>
    <xf numFmtId="164" fontId="3" fillId="0" borderId="0" xfId="0" applyNumberFormat="1" applyFont="1" applyAlignment="1">
      <alignment vertical="center"/>
    </xf>
    <xf numFmtId="0" fontId="4" fillId="0" borderId="0" xfId="0" applyFont="1" applyAlignment="1" applyProtection="1">
      <alignment vertical="center"/>
      <protection locked="0"/>
    </xf>
    <xf numFmtId="0" fontId="4" fillId="0" borderId="0" xfId="0" applyFont="1" applyAlignment="1">
      <alignment vertical="center"/>
    </xf>
    <xf numFmtId="3" fontId="4" fillId="0" borderId="0" xfId="0" applyNumberFormat="1" applyFont="1" applyAlignment="1" applyProtection="1">
      <alignment vertical="center"/>
      <protection locked="0"/>
    </xf>
    <xf numFmtId="166" fontId="4" fillId="0" borderId="0" xfId="0" applyNumberFormat="1" applyFont="1" applyAlignment="1" applyProtection="1">
      <alignment vertical="center"/>
      <protection locked="0"/>
    </xf>
    <xf numFmtId="168" fontId="4" fillId="0" borderId="0" xfId="0" applyNumberFormat="1" applyFont="1" applyAlignment="1" applyProtection="1">
      <alignment vertical="center"/>
      <protection locked="0"/>
    </xf>
    <xf numFmtId="166" fontId="4" fillId="0" borderId="0" xfId="0" applyNumberFormat="1" applyFont="1" applyAlignment="1">
      <alignment vertical="center"/>
    </xf>
    <xf numFmtId="164" fontId="4" fillId="0" borderId="0" xfId="0" applyNumberFormat="1" applyFont="1" applyAlignment="1" applyProtection="1">
      <alignment horizontal="center" vertical="center"/>
      <protection locked="0"/>
    </xf>
    <xf numFmtId="10" fontId="4" fillId="0" borderId="0" xfId="0" applyNumberFormat="1" applyFont="1" applyAlignment="1">
      <alignment vertical="center"/>
    </xf>
    <xf numFmtId="4" fontId="4" fillId="0" borderId="0" xfId="0" applyNumberFormat="1" applyFont="1" applyAlignment="1">
      <alignment vertical="center"/>
    </xf>
    <xf numFmtId="164" fontId="4" fillId="0" borderId="0" xfId="0" applyNumberFormat="1" applyFont="1" applyAlignment="1">
      <alignment vertical="center"/>
    </xf>
    <xf numFmtId="0" fontId="0" fillId="3" borderId="0" xfId="0" applyFill="1" applyAlignment="1">
      <alignment vertical="center"/>
    </xf>
    <xf numFmtId="3" fontId="4" fillId="0" borderId="0" xfId="0" applyNumberFormat="1" applyFont="1" applyAlignment="1">
      <alignment vertical="center"/>
    </xf>
    <xf numFmtId="0" fontId="2" fillId="2" borderId="0" xfId="0" applyFont="1" applyFill="1" applyAlignment="1">
      <alignment horizontal="left" vertical="center" indent="4"/>
    </xf>
    <xf numFmtId="10" fontId="8" fillId="2" borderId="0" xfId="0" applyNumberFormat="1" applyFont="1" applyFill="1" applyAlignment="1">
      <alignment vertical="center"/>
    </xf>
    <xf numFmtId="22" fontId="4" fillId="0" borderId="0" xfId="0" applyNumberFormat="1" applyFont="1" applyAlignment="1">
      <alignment horizontal="right" vertical="center"/>
    </xf>
    <xf numFmtId="169" fontId="4" fillId="0" borderId="0" xfId="0" applyNumberFormat="1" applyFont="1" applyAlignment="1">
      <alignment vertical="center"/>
    </xf>
    <xf numFmtId="170" fontId="4" fillId="0" borderId="0" xfId="0" applyNumberFormat="1" applyFont="1" applyAlignment="1">
      <alignment vertical="center"/>
    </xf>
    <xf numFmtId="169" fontId="0" fillId="0" borderId="0" xfId="0" applyNumberFormat="1"/>
    <xf numFmtId="14" fontId="0" fillId="0" borderId="0" xfId="0" applyNumberFormat="1" applyAlignment="1">
      <alignment horizontal="left"/>
    </xf>
    <xf numFmtId="0" fontId="6" fillId="2" borderId="0" xfId="0" applyFont="1" applyFill="1" applyAlignment="1">
      <alignment horizontal="center" vertical="center"/>
    </xf>
    <xf numFmtId="0" fontId="9" fillId="3" borderId="0" xfId="0" applyFont="1" applyFill="1" applyAlignment="1">
      <alignment horizontal="center" vertical="center"/>
    </xf>
  </cellXfs>
  <cellStyles count="1">
    <cellStyle name="Normal" xfId="0" builtinId="0"/>
  </cellStyles>
  <dxfs count="53">
    <dxf>
      <font>
        <b val="0"/>
        <i val="0"/>
        <strike val="0"/>
        <condense val="0"/>
        <extend val="0"/>
        <outline val="0"/>
        <shadow val="0"/>
        <u val="none"/>
        <vertAlign val="baseline"/>
        <sz val="14"/>
        <color theme="1"/>
        <name val="Aptos Narrow"/>
        <family val="2"/>
        <scheme val="none"/>
      </font>
      <numFmt numFmtId="169" formatCode="#,##0\ [$₫-42A];[Red]\-#,##0\ [$₫-42A]"/>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6" formatCode="#,##0\ [$₫-42A];[Red]#,##0\ [$₫-42A]"/>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4" formatCode="#,##0.0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70" formatCode="0.00%;[Red]\-0.0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9" formatCode="#,##0\ [$₫-42A];[Red]\-#,##0\ [$₫-42A]"/>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4" formatCode="&quot;₫&quot;#,##0;[Red]&quot;₫&quot;#,##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4" formatCode="&quot;₫&quot;#,##0;[Red]&quot;₫&quot;#,##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4" formatCode="&quot;₫&quot;#,##0;[Red]&quot;₫&quot;#,##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4" formatCode="&quot;₫&quot;#,##0;[Red]&quot;₫&quot;#,##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4" formatCode="&quot;₫&quot;#,##0;[Red]&quot;₫&quot;#,##0"/>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general" vertical="center" textRotation="0" wrapText="0" indent="0" justifyLastLine="0" shrinkToFit="0" readingOrder="0"/>
    </dxf>
    <dxf>
      <font>
        <b/>
        <i val="0"/>
        <color theme="9" tint="0.59996337778862885"/>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FF0000"/>
      </font>
    </dxf>
    <dxf>
      <numFmt numFmtId="0" formatCode="General"/>
    </dxf>
    <dxf>
      <numFmt numFmtId="0" formatCode="General"/>
      <alignment horizontal="right" vertical="bottom" textRotation="0" wrapText="0" indent="0" justifyLastLine="0" shrinkToFit="0" readingOrder="0"/>
    </dxf>
    <dxf>
      <numFmt numFmtId="3" formatCode="#,##0"/>
    </dxf>
    <dxf>
      <numFmt numFmtId="0" formatCode="General"/>
    </dxf>
    <dxf>
      <font>
        <b val="0"/>
        <i val="0"/>
        <strike val="0"/>
        <condense val="0"/>
        <extend val="0"/>
        <outline val="0"/>
        <shadow val="0"/>
        <u val="none"/>
        <vertAlign val="baseline"/>
        <sz val="14"/>
        <color theme="1"/>
        <name val="Aptos Narrow"/>
        <family val="2"/>
        <scheme val="none"/>
      </font>
      <numFmt numFmtId="169" formatCode="#,##0\ [$₫-42A];[Red]\-#,##0\ [$₫-42A]"/>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6" formatCode="#,##0\ [$₫-42A];[Red]#,##0\ [$₫-42A]"/>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4" formatCode="0.00%"/>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3" formatCode="#,##0"/>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70" formatCode="0.00%;[Red]\-0.00%"/>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9" formatCode="#,##0\ [$₫-42A];[Red]\-#,##0\ [$₫-42A]"/>
      <alignment horizontal="general"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6" formatCode="#,##0\ [$₫-42A];[Red]#,##0\ [$₫-42A]"/>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4" formatCode="&quot;₫&quot;#,##0;[Red]&quot;₫&quot;#,##0"/>
      <alignment horizontal="center" vertical="center" textRotation="0" wrapText="0" indent="0" justifyLastLine="0" shrinkToFit="0" readingOrder="0"/>
      <protection locked="0" hidden="0"/>
    </dxf>
    <dxf>
      <font>
        <b val="0"/>
        <i val="0"/>
        <strike val="0"/>
        <condense val="0"/>
        <extend val="0"/>
        <outline val="0"/>
        <shadow val="0"/>
        <u val="none"/>
        <vertAlign val="baseline"/>
        <sz val="14"/>
        <color theme="1"/>
        <name val="Aptos Narrow"/>
        <family val="2"/>
        <scheme val="none"/>
      </font>
      <numFmt numFmtId="168" formatCode="[$-409]d\-mmm\-yyyy;@"/>
      <alignment vertical="center" textRotation="0" wrapText="0" indent="0" justifyLastLine="0" shrinkToFit="0" readingOrder="0"/>
      <protection locked="0" hidden="0"/>
    </dxf>
    <dxf>
      <font>
        <b val="0"/>
        <i val="0"/>
        <strike val="0"/>
        <condense val="0"/>
        <extend val="0"/>
        <outline val="0"/>
        <shadow val="0"/>
        <u val="none"/>
        <vertAlign val="baseline"/>
        <sz val="14"/>
        <color theme="1"/>
        <name val="Aptos Narrow"/>
        <family val="2"/>
        <scheme val="none"/>
      </font>
      <numFmt numFmtId="166" formatCode="#,##0\ [$₫-42A];[Red]#,##0\ [$₫-42A]"/>
      <alignment vertical="center" textRotation="0" wrapText="0" indent="0" justifyLastLine="0" shrinkToFit="0" readingOrder="0"/>
      <protection locked="0" hidden="0"/>
    </dxf>
    <dxf>
      <font>
        <b val="0"/>
        <i val="0"/>
        <strike val="0"/>
        <condense val="0"/>
        <extend val="0"/>
        <outline val="0"/>
        <shadow val="0"/>
        <u val="none"/>
        <vertAlign val="baseline"/>
        <sz val="14"/>
        <color theme="1"/>
        <name val="Aptos Narrow"/>
        <family val="2"/>
        <scheme val="none"/>
      </font>
      <numFmt numFmtId="166" formatCode="#,##0\ [$₫-42A];[Red]#,##0\ [$₫-42A]"/>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27" formatCode="d/m/yy\ hh:mm"/>
      <alignment horizontal="righ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6" formatCode="#,##0\ [$₫-42A];[Red]#,##0\ [$₫-42A]"/>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168" formatCode="[$-409]d\-mmm\-yyyy;@"/>
      <alignment vertical="center" textRotation="0" wrapText="0" indent="0" justifyLastLine="0" shrinkToFit="0" readingOrder="0"/>
      <protection locked="0" hidden="0"/>
    </dxf>
    <dxf>
      <font>
        <b val="0"/>
        <i val="0"/>
        <strike val="0"/>
        <condense val="0"/>
        <extend val="0"/>
        <outline val="0"/>
        <shadow val="0"/>
        <u val="none"/>
        <vertAlign val="baseline"/>
        <sz val="14"/>
        <color theme="1"/>
        <name val="Aptos Narrow"/>
        <family val="2"/>
        <scheme val="none"/>
      </font>
      <numFmt numFmtId="166" formatCode="#,##0\ [$₫-42A];[Red]#,##0\ [$₫-42A]"/>
      <alignment vertical="center" textRotation="0" wrapText="0" indent="0" justifyLastLine="0" shrinkToFit="0" readingOrder="0"/>
      <protection locked="0" hidden="0"/>
    </dxf>
    <dxf>
      <font>
        <b val="0"/>
        <i val="0"/>
        <strike val="0"/>
        <condense val="0"/>
        <extend val="0"/>
        <outline val="0"/>
        <shadow val="0"/>
        <u val="none"/>
        <vertAlign val="baseline"/>
        <sz val="14"/>
        <color theme="1"/>
        <name val="Aptos Narrow"/>
        <family val="2"/>
        <scheme val="none"/>
      </font>
      <numFmt numFmtId="3" formatCode="#,##0"/>
      <alignment vertical="center" textRotation="0" wrapText="0" indent="0" justifyLastLine="0" shrinkToFit="0" readingOrder="0"/>
      <protection locked="0" hidden="0"/>
    </dxf>
    <dxf>
      <font>
        <b val="0"/>
        <i val="0"/>
        <strike val="0"/>
        <condense val="0"/>
        <extend val="0"/>
        <outline val="0"/>
        <shadow val="0"/>
        <u val="none"/>
        <vertAlign val="baseline"/>
        <sz val="14"/>
        <color theme="1"/>
        <name val="Aptos Narrow"/>
        <family val="2"/>
        <scheme val="none"/>
      </font>
      <alignment vertical="center" textRotation="0" wrapText="0" indent="0" justifyLastLine="0" shrinkToFit="0" readingOrder="0"/>
      <protection locked="0" hidden="0"/>
    </dxf>
    <dxf>
      <font>
        <b val="0"/>
        <i val="0"/>
        <strike val="0"/>
        <condense val="0"/>
        <extend val="0"/>
        <outline val="0"/>
        <shadow val="0"/>
        <u val="none"/>
        <vertAlign val="baseline"/>
        <sz val="14"/>
        <color theme="1"/>
        <name val="Aptos Narrow"/>
        <family val="2"/>
        <scheme val="none"/>
      </font>
      <numFmt numFmtId="0" formatCode="General"/>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numFmt numFmtId="0" formatCode="General"/>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vertical="center" textRotation="0" wrapText="0" indent="0" justifyLastLine="0" shrinkToFit="0" readingOrder="0"/>
      <protection locked="0" hidden="0"/>
    </dxf>
    <dxf>
      <font>
        <strike val="0"/>
        <outline val="0"/>
        <shadow val="0"/>
        <u val="none"/>
        <vertAlign val="baseline"/>
        <sz val="14"/>
        <name val="Aptos Narrow"/>
        <family val="2"/>
        <scheme val="none"/>
      </font>
      <alignment vertical="center"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vertical="center" textRotation="0" wrapText="0" indent="0" justifyLastLine="0" shrinkToFit="0" readingOrder="0"/>
    </dxf>
    <dxf>
      <font>
        <b/>
        <i val="0"/>
        <strike val="0"/>
        <condense val="0"/>
        <extend val="0"/>
        <outline val="0"/>
        <shadow val="0"/>
        <u val="none"/>
        <vertAlign val="baseline"/>
        <sz val="14"/>
        <color rgb="FFFFFFFF"/>
        <name val="Aptos Narrow"/>
        <family val="2"/>
        <scheme val="none"/>
      </font>
      <alignment vertical="center" textRotation="0" wrapText="0" indent="0" justifyLastLine="0" shrinkToFit="0" readingOrder="0"/>
    </dxf>
  </dxfs>
  <tableStyles count="0" defaultTableStyle="TableStyleMedium2" defaultPivotStyle="PivotStyleLight16"/>
  <colors>
    <mruColors>
      <color rgb="FFFF0000"/>
      <color rgb="FFFE4A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[stock_portfolio_template.xlsx]_pivot table 1 (internal)!PivotTable20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and Loss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wrap="square" lIns="38100" tIns="19050" rIns="38100" bIns="19050" anchor="ctr">
              <a:spAutoFit/>
            </a:bodyPr>
            <a:lstStyle/>
            <a:p>
              <a:pPr>
                <a:defRPr/>
              </a:pPr>
              <a:endParaRPr lang="en-VN"/>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dLblPos val="ctr"/>
          <c:showLegendKey val="0"/>
          <c:showVal val="1"/>
          <c:showCatName val="1"/>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VN"/>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wrap="square" lIns="38100" tIns="19050" rIns="38100" bIns="19050" anchor="ctr">
              <a:spAutoFit/>
            </a:bodyPr>
            <a:lstStyle/>
            <a:p>
              <a:pPr>
                <a:defRPr/>
              </a:pPr>
              <a:endParaRPr lang="en-VN"/>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VN"/>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wrap="square" lIns="38100" tIns="19050" rIns="38100" bIns="19050" anchor="ctr">
              <a:spAutoFit/>
            </a:bodyPr>
            <a:lstStyle/>
            <a:p>
              <a:pPr>
                <a:defRPr/>
              </a:pPr>
              <a:endParaRPr lang="en-V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1"/>
        <c:ser>
          <c:idx val="0"/>
          <c:order val="0"/>
          <c:tx>
            <c:strRef>
              <c:f>'_pivot table 1 (internal)'!$B$6:$B$7</c:f>
              <c:strCache>
                <c:ptCount val="1"/>
                <c:pt idx="0">
                  <c:v>VNM</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'_pivot table 1 (internal)'!$A$8:$A$9</c:f>
              <c:strCache>
                <c:ptCount val="1"/>
                <c:pt idx="0">
                  <c:v>7/1/26</c:v>
                </c:pt>
              </c:strCache>
            </c:strRef>
          </c:cat>
          <c:val>
            <c:numRef>
              <c:f>'_pivot table 1 (internal)'!$B$8:$B$9</c:f>
              <c:numCache>
                <c:formatCode>#,##0\ [$₫-42A];[Red]#,##0\ [$₫-42A]</c:formatCode>
                <c:ptCount val="1"/>
                <c:pt idx="0">
                  <c:v>-63795</c:v>
                </c:pt>
              </c:numCache>
            </c:numRef>
          </c:val>
          <c:extLst>
            <c:ext xmlns:c16="http://schemas.microsoft.com/office/drawing/2014/chart" uri="{C3380CC4-5D6E-409C-BE32-E72D297353CC}">
              <c16:uniqueId val="{00000000-8BD9-4401-821D-A8B80AAF3943}"/>
            </c:ext>
          </c:extLst>
        </c:ser>
        <c:dLbls>
          <c:dLblPos val="ctr"/>
          <c:showLegendKey val="0"/>
          <c:showVal val="1"/>
          <c:showCatName val="0"/>
          <c:showSerName val="0"/>
          <c:showPercent val="0"/>
          <c:showBubbleSize val="0"/>
        </c:dLbls>
        <c:gapWidth val="100"/>
        <c:overlap val="100"/>
        <c:axId val="27557231"/>
        <c:axId val="1942608944"/>
      </c:barChart>
      <c:catAx>
        <c:axId val="27557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2608944"/>
        <c:crosses val="autoZero"/>
        <c:auto val="1"/>
        <c:lblAlgn val="ctr"/>
        <c:lblOffset val="100"/>
        <c:noMultiLvlLbl val="0"/>
      </c:catAx>
      <c:valAx>
        <c:axId val="1942608944"/>
        <c:scaling>
          <c:orientation val="minMax"/>
        </c:scaling>
        <c:delete val="0"/>
        <c:axPos val="l"/>
        <c:majorGridlines>
          <c:spPr>
            <a:ln w="9525" cap="flat" cmpd="sng" algn="ctr">
              <a:solidFill>
                <a:schemeClr val="lt1">
                  <a:lumMod val="95000"/>
                  <a:alpha val="10000"/>
                </a:schemeClr>
              </a:solidFill>
              <a:round/>
            </a:ln>
            <a:effectLst/>
          </c:spPr>
        </c:majorGridlines>
        <c:numFmt formatCode="#,##0\ [$₫-42A];[Red]#,##0\ [$₫-42A]"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5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[stock_portfolio_template.xlsx]_pivot table 2 (internal)!PivotTable21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vi-VN"/>
              <a:t>Share of Investment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'_pivot table 2 (internal)'!$B$4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07-4417-AF1C-9AA5685AFEA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07-4417-AF1C-9AA5685AFEA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07-4417-AF1C-9AA5685AFEAE}"/>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734-4343-BC2E-885B3DCE577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'_pivot table 2 (internal)'!$A$5:$A$6</c:f>
              <c:strCache>
                <c:ptCount val="1"/>
                <c:pt idx="0">
                  <c:v>VNM</c:v>
                </c:pt>
              </c:strCache>
            </c:strRef>
          </c:cat>
          <c:val>
            <c:numRef>
              <c:f>'_pivot table 2 (internal)'!$B$5:$B$6</c:f>
              <c:numCache>
                <c:formatCode>#,##0\ [$₫-42A];[Red]#,##0\ [$₫-42A]</c:formatCode>
                <c:ptCount val="1"/>
                <c:pt idx="0">
                  <c:v>100000</c:v>
                </c:pt>
              </c:numCache>
            </c:numRef>
          </c:val>
          <c:extLst>
            <c:ext xmlns:c16="http://schemas.microsoft.com/office/drawing/2014/chart" uri="{C3380CC4-5D6E-409C-BE32-E72D297353CC}">
              <c16:uniqueId val="{00000006-2007-4417-AF1C-9AA5685AFEA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[stock_portfolio_template.xlsx]_pivot table 3 (internal)!PivotTable22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Holding 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'_pivot table 3 (internal)'!$B$4</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'_pivot table 3 (internal)'!$A$5:$A$6</c:f>
              <c:strCache>
                <c:ptCount val="1"/>
                <c:pt idx="0">
                  <c:v>VNM</c:v>
                </c:pt>
              </c:strCache>
            </c:strRef>
          </c:cat>
          <c:val>
            <c:numRef>
              <c:f>'_pivot table 3 (internal)'!$B$5:$B$6</c:f>
              <c:numCache>
                <c:formatCode>#,##0.00</c:formatCode>
                <c:ptCount val="1"/>
                <c:pt idx="0">
                  <c:v>2</c:v>
                </c:pt>
              </c:numCache>
            </c:numRef>
          </c:val>
          <c:extLst>
            <c:ext xmlns:c16="http://schemas.microsoft.com/office/drawing/2014/chart" uri="{C3380CC4-5D6E-409C-BE32-E72D297353CC}">
              <c16:uniqueId val="{00000000-9A4A-4FB3-B549-A769900F26CE}"/>
            </c:ext>
          </c:extLst>
        </c:ser>
        <c:dLbls>
          <c:showLegendKey val="0"/>
          <c:showVal val="0"/>
          <c:showCatName val="0"/>
          <c:showSerName val="0"/>
          <c:showPercent val="0"/>
          <c:showBubbleSize val="0"/>
        </c:dLbls>
        <c:gapWidth val="100"/>
        <c:overlap val="-24"/>
        <c:axId val="293746559"/>
        <c:axId val="293736479"/>
      </c:barChart>
      <c:catAx>
        <c:axId val="293746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736479"/>
        <c:crosses val="autoZero"/>
        <c:auto val="1"/>
        <c:lblAlgn val="ctr"/>
        <c:lblOffset val="100"/>
        <c:noMultiLvlLbl val="0"/>
      </c:catAx>
      <c:valAx>
        <c:axId val="2937364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74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[stock_portfolio_template.xlsx]_pivot table 4 (internal)!PivotTable23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Investment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'_pivot table 4 (internal)'!$B$4:$B$5</c:f>
              <c:strCache>
                <c:ptCount val="1"/>
                <c:pt idx="0">
                  <c:v>VNM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'_pivot table 4 (internal)'!$A$6:$A$7</c:f>
              <c:strCache>
                <c:ptCount val="1"/>
                <c:pt idx="0">
                  <c:v>7/1/26</c:v>
                </c:pt>
              </c:strCache>
            </c:strRef>
          </c:cat>
          <c:val>
            <c:numRef>
              <c:f>'_pivot table 4 (internal)'!$B$6:$B$7</c:f>
              <c:numCache>
                <c:formatCode>#,##0\ [$₫-42A];[Red]#,##0\ [$₫-42A]</c:formatCode>
                <c:ptCount val="1"/>
                <c:pt idx="0">
                  <c:v>100000</c:v>
                </c:pt>
              </c:numCache>
            </c:numRef>
          </c:val>
          <c:extLst>
            <c:ext xmlns:c16="http://schemas.microsoft.com/office/drawing/2014/chart" uri="{C3380CC4-5D6E-409C-BE32-E72D297353CC}">
              <c16:uniqueId val="{00000000-D6F1-4376-ACEF-E201428D1AB3}"/>
            </c:ext>
          </c:extLst>
        </c:ser>
        <c:dLbls>
          <c:showLegendKey val="0"/>
          <c:showVal val="0"/>
          <c:showCatName val="0"/>
          <c:showSerName val="0"/>
          <c:showPercent val="0"/>
          <c:showBubbleSize val="0"/>
        </c:dLbls>
        <c:gapWidth val="100"/>
        <c:overlap val="-24"/>
        <c:axId val="30478815"/>
        <c:axId val="30481695"/>
      </c:barChart>
      <c:catAx>
        <c:axId val="30478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481695"/>
        <c:crosses val="autoZero"/>
        <c:auto val="1"/>
        <c:lblAlgn val="ctr"/>
        <c:lblOffset val="100"/>
        <c:noMultiLvlLbl val="0"/>
      </c:catAx>
      <c:valAx>
        <c:axId val="30481695"/>
        <c:scaling>
          <c:orientation val="minMax"/>
        </c:scaling>
        <c:delete val="0"/>
        <c:axPos val="l"/>
        <c:majorGridlines>
          <c:spPr>
            <a:ln w="9525" cap="flat" cmpd="sng" algn="ctr">
              <a:solidFill>
                <a:schemeClr val="lt1">
                  <a:lumMod val="95000"/>
                  <a:alpha val="10000"/>
                </a:schemeClr>
              </a:solidFill>
              <a:round/>
            </a:ln>
            <a:effectLst/>
          </c:spPr>
        </c:majorGridlines>
        <c:numFmt formatCode="#,##0\ [$₫-42A];[Red]#,##0\ [$₫-42A]"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47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[stock_portfolio_template.xlsx]_pivot table 5 (internal)!PivotTable1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 per</a:t>
            </a:r>
            <a:r>
              <a:rPr lang="en-US" baseline="0"/>
              <a:t>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V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'_pivot table 5 (internal)'!$B$3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'_pivot table 5 (internal)'!$A$4:$A$5</c:f>
              <c:strCache>
                <c:ptCount val="1"/>
                <c:pt idx="0">
                  <c:v>7/1/26</c:v>
                </c:pt>
              </c:strCache>
            </c:strRef>
          </c:cat>
          <c:val>
            <c:numRef>
              <c:f>'_pivot table 5 (internal)'!$B$4:$B$5</c:f>
              <c:numCache>
                <c:formatCode>#,##0\ [$₫-42A];[Red]\-#,##0\ [$₫-42A]</c:formatCode>
                <c:ptCount val="1"/>
                <c:pt idx="0">
                  <c:v>-369345</c:v>
                </c:pt>
              </c:numCache>
            </c:numRef>
          </c:val>
          <c:extLst>
            <c:ext xmlns:c16="http://schemas.microsoft.com/office/drawing/2014/chart" uri="{C3380CC4-5D6E-409C-BE32-E72D297353CC}">
              <c16:uniqueId val="{00000000-42B2-4148-8C87-2107E876916A}"/>
            </c:ext>
          </c:extLst>
        </c:ser>
        <c:dLbls>
          <c:dLblPos val="inEnd"/>
          <c:showLegendKey val="0"/>
          <c:showVal val="1"/>
          <c:showCatName val="0"/>
          <c:showSerName val="0"/>
          <c:showPercent val="0"/>
          <c:showBubbleSize val="0"/>
        </c:dLbls>
        <c:gapWidth val="100"/>
        <c:overlap val="-24"/>
        <c:axId val="1717079103"/>
        <c:axId val="1629399999"/>
      </c:barChart>
      <c:catAx>
        <c:axId val="1717079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VN"/>
          </a:p>
        </c:txPr>
        <c:crossAx val="1629399999"/>
        <c:crosses val="autoZero"/>
        <c:auto val="1"/>
        <c:lblAlgn val="ctr"/>
        <c:lblOffset val="100"/>
        <c:noMultiLvlLbl val="0"/>
      </c:catAx>
      <c:valAx>
        <c:axId val="1629399999"/>
        <c:scaling>
          <c:orientation val="minMax"/>
        </c:scaling>
        <c:delete val="0"/>
        <c:axPos val="l"/>
        <c:majorGridlines>
          <c:spPr>
            <a:ln w="9525" cap="flat" cmpd="sng" algn="ctr">
              <a:solidFill>
                <a:schemeClr val="lt1">
                  <a:lumMod val="95000"/>
                  <a:alpha val="10000"/>
                </a:schemeClr>
              </a:solidFill>
              <a:round/>
            </a:ln>
            <a:effectLst/>
          </c:spPr>
        </c:majorGridlines>
        <c:numFmt formatCode="#,##0\ [$₫-42A];[Red]\-#,##0\ [$₫-42A]"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VN"/>
          </a:p>
        </c:txPr>
        <c:crossAx val="171707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685800</xdr:colOff>
      <xdr:row>0</xdr:row>
      <xdr:rowOff>304801</xdr:rowOff>
    </xdr:from>
    <xdr:to>
      <xdr:col>17</xdr:col>
      <xdr:colOff>800100</xdr:colOff>
      <xdr:row>12</xdr:row>
      <xdr:rowOff>101600</xdr:rowOff>
    </xdr:to>
    <xdr:graphicFrame macro="">
      <xdr:nvGraphicFramePr>
        <xdr:cNvPr id="6" name="Chart 5">
          <a:extLst>
            <a:ext uri="{FF2B5EF4-FFF2-40B4-BE49-F238E27FC236}">
              <a16:creationId xmlns:a16="http://schemas.microsoft.com/office/drawing/2014/main" id="{4A2D15E1-F482-4D48-AD3F-8490859A5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708024</xdr:colOff>
      <xdr:row>13</xdr:row>
      <xdr:rowOff>85725</xdr:rowOff>
    </xdr:from>
    <xdr:to>
      <xdr:col>17</xdr:col>
      <xdr:colOff>831850</xdr:colOff>
      <xdr:row>25</xdr:row>
      <xdr:rowOff>50800</xdr:rowOff>
    </xdr:to>
    <xdr:graphicFrame macro="">
      <xdr:nvGraphicFramePr>
        <xdr:cNvPr id="7" name="Chart 6">
          <a:extLst>
            <a:ext uri="{FF2B5EF4-FFF2-40B4-BE49-F238E27FC236}">
              <a16:creationId xmlns:a16="http://schemas.microsoft.com/office/drawing/2014/main" id="{69DAAAF7-2358-463D-9A87-59F663FE0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333374</xdr:colOff>
      <xdr:row>0</xdr:row>
      <xdr:rowOff>352424</xdr:rowOff>
    </xdr:from>
    <xdr:to>
      <xdr:col>29</xdr:col>
      <xdr:colOff>400049</xdr:colOff>
      <xdr:row>12</xdr:row>
      <xdr:rowOff>101600</xdr:rowOff>
    </xdr:to>
    <xdr:graphicFrame macro="">
      <xdr:nvGraphicFramePr>
        <xdr:cNvPr id="8" name="Chart 7">
          <a:extLst>
            <a:ext uri="{FF2B5EF4-FFF2-40B4-BE49-F238E27FC236}">
              <a16:creationId xmlns:a16="http://schemas.microsoft.com/office/drawing/2014/main" id="{F0FFC14C-A00B-4D11-B83A-CFF9E0352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301624</xdr:colOff>
      <xdr:row>13</xdr:row>
      <xdr:rowOff>161924</xdr:rowOff>
    </xdr:from>
    <xdr:to>
      <xdr:col>29</xdr:col>
      <xdr:colOff>406399</xdr:colOff>
      <xdr:row>25</xdr:row>
      <xdr:rowOff>95250</xdr:rowOff>
    </xdr:to>
    <xdr:graphicFrame macro="">
      <xdr:nvGraphicFramePr>
        <xdr:cNvPr id="9" name="Chart 8">
          <a:extLst>
            <a:ext uri="{FF2B5EF4-FFF2-40B4-BE49-F238E27FC236}">
              <a16:creationId xmlns:a16="http://schemas.microsoft.com/office/drawing/2014/main" id="{24493400-7E00-4BD3-A88A-384BC8059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317500</xdr:colOff>
      <xdr:row>26</xdr:row>
      <xdr:rowOff>165100</xdr:rowOff>
    </xdr:from>
    <xdr:to>
      <xdr:col>29</xdr:col>
      <xdr:colOff>419100</xdr:colOff>
      <xdr:row>36</xdr:row>
      <xdr:rowOff>330200</xdr:rowOff>
    </xdr:to>
    <xdr:graphicFrame macro="">
      <xdr:nvGraphicFramePr>
        <xdr:cNvPr id="2" name="Chart 1">
          <a:extLst>
            <a:ext uri="{FF2B5EF4-FFF2-40B4-BE49-F238E27FC236}">
              <a16:creationId xmlns:a16="http://schemas.microsoft.com/office/drawing/2014/main" id="{B3ABC89B-26E3-8740-8AD9-17D7F4FBF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o Nhat Phong" id="{BCBCF97F-A1B9-D741-B3DF-EA62D0949190}" userId="a8e04bbe55da4611"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 Nhat Phong" refreshedDate="46029.948903819444" createdVersion="8" refreshedVersion="8" minRefreshableVersion="3" recordCount="1" xr:uid="{C692E5FA-F003-490D-9CF4-621E37EBFADC}">
  <cacheSource type="worksheet">
    <worksheetSource name="Portfolio"/>
  </cacheSource>
  <cacheFields count="20">
    <cacheField name="Symbol" numFmtId="0">
      <sharedItems count="9">
        <s v="VNM"/>
        <s v="MCH" u="1"/>
        <s v="MWG" u="1"/>
        <s v="CTG" u="1"/>
        <s v="TCB" u="1"/>
        <s v="MBB" u="1"/>
        <s v="ACB" u="1"/>
        <s v="A32" u="1"/>
        <s v="VIC" u="1"/>
      </sharedItems>
    </cacheField>
    <cacheField name="Company Name" numFmtId="0">
      <sharedItems/>
    </cacheField>
    <cacheField name="Exchange" numFmtId="0">
      <sharedItems/>
    </cacheField>
    <cacheField name="Broker" numFmtId="0">
      <sharedItems containsBlank="1" count="3">
        <s v="Demo"/>
        <m u="1"/>
        <s v="TCBS" u="1"/>
      </sharedItems>
    </cacheField>
    <cacheField name="Shares" numFmtId="3">
      <sharedItems containsSemiMixedTypes="0" containsString="0" containsNumber="1" containsInteger="1" minValue="1" maxValue="1"/>
    </cacheField>
    <cacheField name="Buy Price" numFmtId="166">
      <sharedItems containsSemiMixedTypes="0" containsString="0" containsNumber="1" containsInteger="1" minValue="100000" maxValue="100000"/>
    </cacheField>
    <cacheField name="Buy Date" numFmtId="168">
      <sharedItems containsSemiMixedTypes="0" containsNonDate="0" containsDate="1" containsString="0" minDate="2026-01-05T00:00:00" maxDate="2026-01-06T00:00:00"/>
    </cacheField>
    <cacheField name="Current Price" numFmtId="166">
      <sharedItems/>
    </cacheField>
    <cacheField name="Last Update" numFmtId="22">
      <sharedItems/>
    </cacheField>
    <cacheField name="Investment Value" numFmtId="166">
      <sharedItems containsSemiMixedTypes="0" containsString="0" containsNumber="1" containsInteger="1" minValue="100000" maxValue="100000"/>
    </cacheField>
    <cacheField name="Close Price" numFmtId="166">
      <sharedItems containsSemiMixedTypes="0" containsString="0" containsNumber="1" containsInteger="1" minValue="36205" maxValue="36205"/>
    </cacheField>
    <cacheField name="Sell Date" numFmtId="168">
      <sharedItems containsSemiMixedTypes="0" containsNonDate="0" containsDate="1" containsString="0" minDate="2026-01-07T00:00:00" maxDate="2026-02-02T00:00:00" count="2">
        <d v="2026-01-07T00:00:00"/>
        <d v="2026-02-01T00:00:00" u="1"/>
      </sharedItems>
    </cacheField>
    <cacheField name="Status" numFmtId="164">
      <sharedItems containsBlank="1" count="3">
        <s v="CLOSED"/>
        <s v="OPEN" u="1"/>
        <m u="1"/>
      </sharedItems>
    </cacheField>
    <cacheField name="Return Value" numFmtId="166">
      <sharedItems containsSemiMixedTypes="0" containsString="0" containsNumber="1" containsInteger="1" minValue="36205" maxValue="36205"/>
    </cacheField>
    <cacheField name="P/L" numFmtId="169">
      <sharedItems containsSemiMixedTypes="0" containsString="0" containsNumber="1" containsInteger="1" minValue="-63795" maxValue="-63795"/>
    </cacheField>
    <cacheField name="% P/L" numFmtId="170">
      <sharedItems containsSemiMixedTypes="0" containsString="0" containsNumber="1" minValue="-0.63795000000000002" maxValue="-0.63795000000000002"/>
    </cacheField>
    <cacheField name="Holding Days" numFmtId="3">
      <sharedItems containsSemiMixedTypes="0" containsString="0" containsNumber="1" containsInteger="1" minValue="2" maxValue="2"/>
    </cacheField>
    <cacheField name="% Contribution P/L" numFmtId="10">
      <sharedItems containsSemiMixedTypes="0" containsString="0" containsNumber="1" containsInteger="1" minValue="1" maxValue="1"/>
    </cacheField>
    <cacheField name="Fee" numFmtId="166">
      <sharedItems containsSemiMixedTypes="0" containsString="0" containsNumber="1" containsInteger="1" minValue="305550" maxValue="305550"/>
    </cacheField>
    <cacheField name="Income" numFmtId="169">
      <sharedItems containsSemiMixedTypes="0" containsString="0" containsNumber="1" containsInteger="1" minValue="-369345" maxValue="-369345"/>
    </cacheField>
  </cacheFields>
  <extLst>
    <ext xmlns:x14="http://schemas.microsoft.com/office/spreadsheetml/2009/9/main" uri="{725AE2AE-9491-48be-B2B4-4EB974FC3084}">
      <x14:pivotCacheDefinition pivotCacheId="1205143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s v="Công ty Cổ phần Sữa Việt Nam"/>
    <s v="HSX"/>
    <x v="0"/>
    <n v="1"/>
    <n v="100000"/>
    <d v="2026-01-05T00:00:00"/>
    <e v="#NAME?"/>
    <e v="#NAME?"/>
    <n v="100000"/>
    <n v="36205"/>
    <x v="0"/>
    <x v="0"/>
    <n v="36205"/>
    <n v="-63795"/>
    <n v="-0.63795000000000002"/>
    <n v="2"/>
    <n v="1"/>
    <n v="305550"/>
    <n v="-3693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3ECF7D-E012-4186-89D7-B4B49EF03D65}" name="PivotTable20" cacheId="1" applyNumberFormats="0" applyBorderFormats="0" applyFontFormats="0" applyPatternFormats="0" applyAlignmentFormats="0" applyWidthHeightFormats="1" dataCaption="Values" errorCaption="N/A" updatedVersion="8" minRefreshableVersion="3" useAutoFormatting="1" itemPrintTitles="1" createdVersion="8" indent="0" outline="1" outlineData="1" chartFormat="20">
  <location ref="A6:C9" firstHeaderRow="1" firstDataRow="2" firstDataCol="1" rowPageCount="2" colPageCount="1"/>
  <pivotFields count="20">
    <pivotField axis="axisCol" showAll="0">
      <items count="10">
        <item m="1" x="6"/>
        <item m="1" x="8"/>
        <item x="0"/>
        <item m="1" x="1"/>
        <item m="1" x="7"/>
        <item m="1" x="2"/>
        <item m="1" x="3"/>
        <item m="1" x="5"/>
        <item m="1" x="4"/>
        <item t="default"/>
      </items>
    </pivotField>
    <pivotField showAll="0"/>
    <pivotField showAll="0"/>
    <pivotField axis="axisPage" showAll="0">
      <items count="4">
        <item m="1" x="2"/>
        <item m="1" x="1"/>
        <item x="0"/>
        <item t="default"/>
      </items>
    </pivotField>
    <pivotField numFmtId="3" showAll="0"/>
    <pivotField numFmtId="166" showAll="0"/>
    <pivotField numFmtId="168" showAll="0"/>
    <pivotField numFmtId="166" showAll="0"/>
    <pivotField showAll="0"/>
    <pivotField numFmtId="166" showAll="0"/>
    <pivotField showAll="0"/>
    <pivotField axis="axisRow" showAll="0">
      <items count="3">
        <item x="0"/>
        <item m="1" x="1"/>
        <item t="default"/>
      </items>
    </pivotField>
    <pivotField axis="axisPage" multipleItemSelectionAllowed="1" showAll="0">
      <items count="4">
        <item x="0"/>
        <item m="1" x="2"/>
        <item m="1" x="1"/>
        <item t="default"/>
      </items>
    </pivotField>
    <pivotField numFmtId="166" showAll="0"/>
    <pivotField dataField="1" numFmtId="166" showAll="0"/>
    <pivotField numFmtId="10" showAll="0"/>
    <pivotField numFmtId="4" showAll="0"/>
    <pivotField numFmtId="10" showAll="0"/>
    <pivotField showAll="0"/>
    <pivotField numFmtId="169" showAll="0"/>
  </pivotFields>
  <rowFields count="1">
    <field x="11"/>
  </rowFields>
  <rowItems count="2">
    <i>
      <x/>
    </i>
    <i t="grand">
      <x/>
    </i>
  </rowItems>
  <colFields count="1">
    <field x="0"/>
  </colFields>
  <colItems count="2">
    <i>
      <x v="2"/>
    </i>
    <i t="grand">
      <x/>
    </i>
  </colItems>
  <pageFields count="2">
    <pageField fld="12" hier="-1"/>
    <pageField fld="3" hier="-1"/>
  </pageFields>
  <dataFields count="1">
    <dataField name="Sum of P/L" fld="14" baseField="0" baseItem="0" numFmtId="166"/>
  </dataField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2">
          <reference field="4294967294" count="1" selected="0">
            <x v="0"/>
          </reference>
          <reference field="0" count="1" selected="0">
            <x v="4"/>
          </reference>
        </references>
      </pivotArea>
    </chartFormat>
    <chartFormat chart="3" format="6" series="1">
      <pivotArea type="data" outline="0" fieldPosition="0">
        <references count="2">
          <reference field="4294967294" count="1" selected="0">
            <x v="0"/>
          </reference>
          <reference field="0" count="1" selected="0">
            <x v="5"/>
          </reference>
        </references>
      </pivotArea>
    </chartFormat>
    <chartFormat chart="3" format="7" series="1">
      <pivotArea type="data" outline="0" fieldPosition="0">
        <references count="2">
          <reference field="4294967294" count="1" selected="0">
            <x v="0"/>
          </reference>
          <reference field="0" count="1" selected="0">
            <x v="6"/>
          </reference>
        </references>
      </pivotArea>
    </chartFormat>
    <chartFormat chart="3" format="8" series="1">
      <pivotArea type="data" outline="0" fieldPosition="0">
        <references count="2">
          <reference field="4294967294" count="1" selected="0">
            <x v="0"/>
          </reference>
          <reference field="0" count="1" selected="0">
            <x v="7"/>
          </reference>
        </references>
      </pivotArea>
    </chartFormat>
    <chartFormat chart="3" format="9"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45804-BA7E-4D8D-8CBA-283392846E7F}"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B6" firstHeaderRow="1" firstDataRow="1" firstDataCol="1" rowPageCount="2" colPageCount="1"/>
  <pivotFields count="20">
    <pivotField axis="axisRow" showAll="0">
      <items count="10">
        <item m="1" x="6"/>
        <item m="1" x="8"/>
        <item x="0"/>
        <item m="1" x="1"/>
        <item m="1" x="7"/>
        <item m="1" x="2"/>
        <item m="1" x="3"/>
        <item m="1" x="5"/>
        <item m="1" x="4"/>
        <item t="default"/>
      </items>
    </pivotField>
    <pivotField showAll="0"/>
    <pivotField showAll="0"/>
    <pivotField axis="axisPage" showAll="0">
      <items count="4">
        <item m="1" x="2"/>
        <item m="1" x="1"/>
        <item x="0"/>
        <item t="default"/>
      </items>
    </pivotField>
    <pivotField numFmtId="3" showAll="0"/>
    <pivotField numFmtId="166" showAll="0"/>
    <pivotField numFmtId="168" showAll="0"/>
    <pivotField numFmtId="166" showAll="0"/>
    <pivotField showAll="0"/>
    <pivotField dataField="1" numFmtId="166" showAll="0"/>
    <pivotField showAll="0"/>
    <pivotField showAll="0"/>
    <pivotField axis="axisPage" showAll="0">
      <items count="4">
        <item x="0"/>
        <item m="1" x="2"/>
        <item m="1" x="1"/>
        <item t="default"/>
      </items>
    </pivotField>
    <pivotField numFmtId="166" showAll="0"/>
    <pivotField numFmtId="166" showAll="0"/>
    <pivotField numFmtId="10" showAll="0"/>
    <pivotField numFmtId="4" showAll="0"/>
    <pivotField numFmtId="10" showAll="0"/>
    <pivotField showAll="0"/>
    <pivotField numFmtId="169" showAll="0"/>
  </pivotFields>
  <rowFields count="1">
    <field x="0"/>
  </rowFields>
  <rowItems count="2">
    <i>
      <x v="2"/>
    </i>
    <i t="grand">
      <x/>
    </i>
  </rowItems>
  <colItems count="1">
    <i/>
  </colItems>
  <pageFields count="2">
    <pageField fld="12" hier="-1"/>
    <pageField fld="3" hier="-1"/>
  </pageFields>
  <dataFields count="1">
    <dataField name="Sum of Investment Value" fld="9" baseField="0" baseItem="0" numFmtId="166"/>
  </dataFields>
  <chartFormats count="9">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0"/>
          </reference>
          <reference field="0" count="1" selected="0">
            <x v="3"/>
          </reference>
        </references>
      </pivotArea>
    </chartFormat>
    <chartFormat chart="8" format="14">
      <pivotArea type="data" outline="0" fieldPosition="0">
        <references count="2">
          <reference field="4294967294" count="1" selected="0">
            <x v="0"/>
          </reference>
          <reference field="0" count="1" selected="0">
            <x v="5"/>
          </reference>
        </references>
      </pivotArea>
    </chartFormat>
    <chartFormat chart="8" format="15">
      <pivotArea type="data" outline="0" fieldPosition="0">
        <references count="2">
          <reference field="4294967294" count="1" selected="0">
            <x v="0"/>
          </reference>
          <reference field="0" count="1" selected="0">
            <x v="6"/>
          </reference>
        </references>
      </pivotArea>
    </chartFormat>
    <chartFormat chart="8" format="16">
      <pivotArea type="data" outline="0" fieldPosition="0">
        <references count="2">
          <reference field="4294967294" count="1" selected="0">
            <x v="0"/>
          </reference>
          <reference field="0" count="1" selected="0">
            <x v="7"/>
          </reference>
        </references>
      </pivotArea>
    </chartFormat>
    <chartFormat chart="8" format="17">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96F2C-E46C-4312-83E8-7529E109D181}"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6" firstHeaderRow="1" firstDataRow="1" firstDataCol="1" rowPageCount="2" colPageCount="1"/>
  <pivotFields count="20">
    <pivotField axis="axisRow" showAll="0">
      <items count="10">
        <item m="1" x="6"/>
        <item m="1" x="8"/>
        <item x="0"/>
        <item m="1" x="1"/>
        <item m="1" x="7"/>
        <item m="1" x="2"/>
        <item m="1" x="3"/>
        <item m="1" x="5"/>
        <item m="1" x="4"/>
        <item t="default"/>
      </items>
    </pivotField>
    <pivotField showAll="0"/>
    <pivotField showAll="0"/>
    <pivotField axis="axisPage" showAll="0">
      <items count="4">
        <item m="1" x="2"/>
        <item m="1" x="1"/>
        <item x="0"/>
        <item t="default"/>
      </items>
    </pivotField>
    <pivotField numFmtId="3" showAll="0"/>
    <pivotField numFmtId="166" showAll="0"/>
    <pivotField numFmtId="168" showAll="0"/>
    <pivotField numFmtId="166" showAll="0"/>
    <pivotField showAll="0"/>
    <pivotField numFmtId="166" showAll="0"/>
    <pivotField showAll="0"/>
    <pivotField showAll="0"/>
    <pivotField axis="axisPage" showAll="0">
      <items count="4">
        <item x="0"/>
        <item m="1" x="1"/>
        <item m="1" x="2"/>
        <item t="default"/>
      </items>
    </pivotField>
    <pivotField numFmtId="166" showAll="0"/>
    <pivotField numFmtId="166" showAll="0"/>
    <pivotField numFmtId="10" showAll="0"/>
    <pivotField dataField="1" numFmtId="4" showAll="0"/>
    <pivotField numFmtId="10" showAll="0"/>
    <pivotField showAll="0"/>
    <pivotField numFmtId="169" showAll="0"/>
  </pivotFields>
  <rowFields count="1">
    <field x="0"/>
  </rowFields>
  <rowItems count="2">
    <i>
      <x v="2"/>
    </i>
    <i t="grand">
      <x/>
    </i>
  </rowItems>
  <colItems count="1">
    <i/>
  </colItems>
  <pageFields count="2">
    <pageField fld="12" hier="-1"/>
    <pageField fld="3" hier="-1"/>
  </pageFields>
  <dataFields count="1">
    <dataField name="Max of Holding days" fld="16" subtotal="max" baseField="0" baseItem="1" numFmtId="4"/>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6AFDAA-E2E6-4421-8A71-F29208455F38}"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C7" firstHeaderRow="1" firstDataRow="2" firstDataCol="1" rowPageCount="2" colPageCount="1"/>
  <pivotFields count="20">
    <pivotField axis="axisCol" showAll="0">
      <items count="10">
        <item m="1" x="6"/>
        <item m="1" x="8"/>
        <item x="0"/>
        <item m="1" x="1"/>
        <item m="1" x="7"/>
        <item m="1" x="2"/>
        <item m="1" x="3"/>
        <item m="1" x="5"/>
        <item m="1" x="4"/>
        <item t="default"/>
      </items>
    </pivotField>
    <pivotField showAll="0"/>
    <pivotField showAll="0"/>
    <pivotField axis="axisPage" showAll="0">
      <items count="4">
        <item m="1" x="2"/>
        <item m="1" x="1"/>
        <item x="0"/>
        <item t="default"/>
      </items>
    </pivotField>
    <pivotField numFmtId="3" showAll="0"/>
    <pivotField numFmtId="166" showAll="0"/>
    <pivotField numFmtId="168" showAll="0" sumSubtotal="1"/>
    <pivotField numFmtId="166" showAll="0"/>
    <pivotField showAll="0"/>
    <pivotField dataField="1" numFmtId="166" showAll="0"/>
    <pivotField showAll="0"/>
    <pivotField axis="axisRow" showAll="0">
      <items count="3">
        <item x="0"/>
        <item m="1" x="1"/>
        <item t="default"/>
      </items>
    </pivotField>
    <pivotField axis="axisPage" showAll="0">
      <items count="4">
        <item x="0"/>
        <item m="1" x="1"/>
        <item m="1" x="2"/>
        <item t="default"/>
      </items>
    </pivotField>
    <pivotField numFmtId="166" showAll="0"/>
    <pivotField numFmtId="166" showAll="0"/>
    <pivotField numFmtId="10" showAll="0"/>
    <pivotField numFmtId="4" showAll="0"/>
    <pivotField numFmtId="10" showAll="0"/>
    <pivotField showAll="0"/>
    <pivotField numFmtId="169" showAll="0"/>
  </pivotFields>
  <rowFields count="1">
    <field x="11"/>
  </rowFields>
  <rowItems count="2">
    <i>
      <x/>
    </i>
    <i t="grand">
      <x/>
    </i>
  </rowItems>
  <colFields count="1">
    <field x="0"/>
  </colFields>
  <colItems count="2">
    <i>
      <x v="2"/>
    </i>
    <i t="grand">
      <x/>
    </i>
  </colItems>
  <pageFields count="2">
    <pageField fld="12" hier="-1"/>
    <pageField fld="3" hier="-1"/>
  </pageFields>
  <dataFields count="1">
    <dataField name="Sum of Investment Value" fld="9" baseField="0" baseItem="0" numFmtId="166"/>
  </dataFields>
  <chartFormats count="13">
    <chartFormat chart="4" format="4" series="1">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2">
          <reference field="4294967294" count="1" selected="0">
            <x v="0"/>
          </reference>
          <reference field="0" count="1" selected="0">
            <x v="4"/>
          </reference>
        </references>
      </pivotArea>
    </chartFormat>
    <chartFormat chart="6" format="9" series="1">
      <pivotArea type="data" outline="0" fieldPosition="0">
        <references count="2">
          <reference field="4294967294" count="1" selected="0">
            <x v="0"/>
          </reference>
          <reference field="0" count="1" selected="0">
            <x v="3"/>
          </reference>
        </references>
      </pivotArea>
    </chartFormat>
    <chartFormat chart="6" format="10" series="1">
      <pivotArea type="data" outline="0" fieldPosition="0">
        <references count="2">
          <reference field="4294967294" count="1" selected="0">
            <x v="0"/>
          </reference>
          <reference field="0" count="1" selected="0">
            <x v="5"/>
          </reference>
        </references>
      </pivotArea>
    </chartFormat>
    <chartFormat chart="6" format="11" series="1">
      <pivotArea type="data" outline="0" fieldPosition="0">
        <references count="2">
          <reference field="4294967294" count="1" selected="0">
            <x v="0"/>
          </reference>
          <reference field="0" count="1" selected="0">
            <x v="6"/>
          </reference>
        </references>
      </pivotArea>
    </chartFormat>
    <chartFormat chart="6" format="12" series="1">
      <pivotArea type="data" outline="0" fieldPosition="0">
        <references count="2">
          <reference field="4294967294" count="1" selected="0">
            <x v="0"/>
          </reference>
          <reference field="0" count="1" selected="0">
            <x v="7"/>
          </reference>
        </references>
      </pivotArea>
    </chartFormat>
    <chartFormat chart="6" format="13" series="1">
      <pivotArea type="data" outline="0" fieldPosition="0">
        <references count="2">
          <reference field="4294967294" count="1" selected="0">
            <x v="0"/>
          </reference>
          <reference field="0" count="1" selected="0">
            <x v="0"/>
          </reference>
        </references>
      </pivotArea>
    </chartFormat>
    <chartFormat chart="6" format="14"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EFEF38-7766-5C46-A887-3E0F8A7CD5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rowPageCount="1" colPageCount="1"/>
  <pivotFields count="20">
    <pivotField showAll="0"/>
    <pivotField showAll="0"/>
    <pivotField showAll="0"/>
    <pivotField showAll="0"/>
    <pivotField numFmtId="3" showAll="0"/>
    <pivotField numFmtId="166" showAll="0"/>
    <pivotField numFmtId="168" showAll="0"/>
    <pivotField numFmtId="166" showAll="0"/>
    <pivotField showAll="0"/>
    <pivotField numFmtId="166" showAll="0"/>
    <pivotField numFmtId="166" showAll="0"/>
    <pivotField axis="axisRow" showAll="0">
      <items count="3">
        <item x="0"/>
        <item m="1" x="1"/>
        <item t="default"/>
      </items>
    </pivotField>
    <pivotField axis="axisPage" showAll="0">
      <items count="4">
        <item x="0"/>
        <item m="1" x="1"/>
        <item m="1" x="2"/>
        <item t="default"/>
      </items>
    </pivotField>
    <pivotField numFmtId="166" showAll="0"/>
    <pivotField numFmtId="169" showAll="0"/>
    <pivotField numFmtId="170" showAll="0"/>
    <pivotField numFmtId="3" showAll="0"/>
    <pivotField numFmtId="10" showAll="0"/>
    <pivotField showAll="0"/>
    <pivotField dataField="1" numFmtId="169" showAll="0"/>
  </pivotFields>
  <rowFields count="1">
    <field x="11"/>
  </rowFields>
  <rowItems count="2">
    <i>
      <x/>
    </i>
    <i t="grand">
      <x/>
    </i>
  </rowItems>
  <colItems count="1">
    <i/>
  </colItems>
  <pageFields count="1">
    <pageField fld="12" hier="-1"/>
  </pageFields>
  <dataFields count="1">
    <dataField name="Sum of Income" fld="19" baseField="0" baseItem="0" numFmtId="169"/>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0C30B33-82FE-4ACA-94BE-9E8FFABBBE02}" autoFormatId="16" applyNumberFormats="0" applyBorderFormats="0" applyFontFormats="0" applyPatternFormats="0" applyAlignmentFormats="0" applyWidthHeightFormats="0">
  <queryTableRefresh nextId="13">
    <queryTableFields count="5">
      <queryTableField id="5" name="Name" tableColumnId="5"/>
      <queryTableField id="6" name="Ticker" tableColumnId="6"/>
      <queryTableField id="7" name="ClosePrice" tableColumnId="7"/>
      <queryTableField id="8" name="PriceTime" tableColumnId="8"/>
      <queryTableField id="4" name="Error"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50C4AB3-30A1-4D31-9FED-BB8EAB105879}" autoFormatId="16" applyNumberFormats="0" applyBorderFormats="0" applyFontFormats="0" applyPatternFormats="0" applyAlignmentFormats="0" applyWidthHeightFormats="0">
  <queryTableRefresh nextId="4">
    <queryTableFields count="3">
      <queryTableField id="1" name="Symbol" tableColumnId="1"/>
      <queryTableField id="2" name="Company" tableColumnId="2"/>
      <queryTableField id="3" name="Exchange"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E4BB08-5225-D94D-91C1-7722091D9383}" name="Portfolio" displayName="Portfolio" ref="A3:T5" totalsRowCount="1" headerRowDxfId="52" dataDxfId="51" totalsRowDxfId="50">
  <autoFilter ref="A3:T4" xr:uid="{BEE4BB08-5225-D94D-91C1-7722091D9383}"/>
  <tableColumns count="20">
    <tableColumn id="1" xr3:uid="{8A680EEE-74EF-E04D-AFFB-15DAE587F177}" name="Symbol" totalsRowLabel="Total" dataDxfId="49" totalsRowDxfId="19"/>
    <tableColumn id="2" xr3:uid="{DA2769FD-F9FE-BF42-9935-059C69850E40}" name="Company Name" dataDxfId="48" totalsRowDxfId="18">
      <calculatedColumnFormula>_xlfn.XLOOKUP(Portfolio[[#This Row],[Symbol]],Symbols[Symbol],Symbols[Company],"N/A",0,2)</calculatedColumnFormula>
    </tableColumn>
    <tableColumn id="3" xr3:uid="{BE19D5F3-C7D4-4A45-BAA1-C6B4795F4527}" name="Exchange" dataDxfId="47" totalsRowDxfId="17">
      <calculatedColumnFormula>_xlfn.XLOOKUP(Portfolio[[#This Row],[Symbol]],Symbols[Symbol],Symbols[Exchange],"N/A",0,2)</calculatedColumnFormula>
    </tableColumn>
    <tableColumn id="10" xr3:uid="{B3B6529E-55F0-451C-ABA7-7574CE83CC82}" name="Broker" dataDxfId="46" totalsRowDxfId="16"/>
    <tableColumn id="4" xr3:uid="{C7E8129D-DFCF-9B48-BD43-3D286422ED45}" name="Shares" dataDxfId="45" totalsRowDxfId="15"/>
    <tableColumn id="5" xr3:uid="{F7ABB21B-9609-FA41-B1F4-CA6E3599E070}" name="Buy Price" dataDxfId="44" totalsRowDxfId="14"/>
    <tableColumn id="15" xr3:uid="{190570E9-3687-45A7-8976-245CA8813775}" name="Buy Date" dataDxfId="43" totalsRowDxfId="13"/>
    <tableColumn id="6" xr3:uid="{57BA3EE8-5456-8544-927C-899EFFF9C978}" name="Current Price" dataDxfId="42" totalsRowDxfId="12">
      <calculatedColumnFormula array="1">_xlfn.XLOOKUP(Portfolio[[#This Row],[Symbol]],Prices[Ticker],Prices[ClosePrice],null,0,2)</calculatedColumnFormula>
    </tableColumn>
    <tableColumn id="9" xr3:uid="{7F18E230-DF72-1241-9386-229BD44DEEC7}" name="Last Update" dataDxfId="41" totalsRowDxfId="11">
      <calculatedColumnFormula array="1">_xlfn.XLOOKUP(Portfolio[[#This Row],[Symbol]],Prices[Ticker],Prices[PriceTime],null,0,2)</calculatedColumnFormula>
    </tableColumn>
    <tableColumn id="7" xr3:uid="{9292243F-4BDC-784C-BFB0-71193A6BC6E3}" name="Investment Value" totalsRowFunction="sum" dataDxfId="40" totalsRowDxfId="10">
      <calculatedColumnFormula>Portfolio[[#This Row],[Shares]]*Portfolio[[#This Row],[Buy Price]]</calculatedColumnFormula>
    </tableColumn>
    <tableColumn id="13" xr3:uid="{BDB9F214-9794-40B0-A034-AB7186E00D40}" name="Close Price" dataDxfId="39" totalsRowDxfId="9"/>
    <tableColumn id="16" xr3:uid="{A1BD31BD-1EDF-41A3-9B6C-C3CC6C550666}" name="Sell Date" dataDxfId="38" totalsRowDxfId="8"/>
    <tableColumn id="11" xr3:uid="{8141BBFB-7AE9-422F-9A6D-702BCCA54430}" name="Status" dataDxfId="37" totalsRowDxfId="7"/>
    <tableColumn id="14" xr3:uid="{9BF84288-B502-45C3-ADC7-89A290250059}" name="Return Value" totalsRowFunction="sum" dataDxfId="36" totalsRowDxfId="6">
      <calculatedColumnFormula>IFERROR(Portfolio[[#This Row],[Shares]] * IF(Portfolio[[#This Row],[Status]]="CLOSED", Portfolio[[#This Row],[Close Price]], Portfolio[[#This Row],[Current Price]]), "")</calculatedColumnFormula>
    </tableColumn>
    <tableColumn id="8" xr3:uid="{152452BD-007C-CC48-A019-CCE0F6D4332A}" name="P/L" totalsRowFunction="sum" dataDxfId="35" totalsRowDxfId="5">
      <calculatedColumnFormula>Portfolio[[#This Row],[Return Value]]-Portfolio[[#This Row],[Investment Value]]</calculatedColumnFormula>
    </tableColumn>
    <tableColumn id="12" xr3:uid="{D577EA9F-62DB-472D-BC73-990C24497AEA}" name="% P/L" totalsRowFunction="custom" dataDxfId="34" totalsRowDxfId="4">
      <calculatedColumnFormula>IFERROR(Portfolio[[#This Row],[P/L]]/Portfolio[[#This Row],[Investment Value]],0)</calculatedColumnFormula>
      <totalsRowFormula>IFERROR(Portfolio[[#Totals],[P/L]] / Portfolio[[#Totals],[Investment Value]], "")</totalsRowFormula>
    </tableColumn>
    <tableColumn id="17" xr3:uid="{60E89A7D-4A4B-4A24-A17B-168DECA20B56}" name="Holding Days" totalsRowFunction="average" dataDxfId="33" totalsRowDxfId="3">
      <calculatedColumnFormula>IF(Portfolio[[#This Row],[Status]]="CLOSED",Portfolio[[#This Row],[Sell Date]]-Portfolio[[#This Row],[Buy Date]],TODAY()-Portfolio[[#This Row],[Buy Date]])</calculatedColumnFormula>
    </tableColumn>
    <tableColumn id="18" xr3:uid="{20A84772-1F1B-4737-ACCC-A76D7BCB99C7}" name="% Contribution P/L" dataDxfId="32" totalsRowDxfId="2">
      <calculatedColumnFormula>Portfolio[[#This Row],[P/L]]/Portfolio[[#Totals],[P/L]]</calculatedColumnFormula>
    </tableColumn>
    <tableColumn id="19" xr3:uid="{7063D92E-51F3-0448-9791-F9E8BBF71A21}" name="Fee" totalsRowFunction="sum" dataDxfId="31" totalsRowDxfId="1"/>
    <tableColumn id="20" xr3:uid="{0113DB59-ACFD-6742-A8B1-D79C87600A2C}" name="Income" totalsRowFunction="sum" dataDxfId="30" totalsRowDxfId="0">
      <calculatedColumnFormula>IF(Portfolio[[#This Row],[Status]] = "CLOSED",  Portfolio[[#This Row],[P/L]] - Portfolio[[#This Row],[Fee]], 0)</calculatedColumnFormula>
    </tableColumn>
  </tableColumns>
  <tableStyleInfo name="TableStyleDark6"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67A776-6B26-4440-8BCD-2A5857E7B13A}" name="Prices" displayName="Prices" ref="A1:E2" tableType="queryTable" totalsRowShown="0">
  <autoFilter ref="A1:E2" xr:uid="{9A67A776-6B26-4440-8BCD-2A5857E7B13A}">
    <filterColumn colId="2">
      <customFilters>
        <customFilter operator="greaterThan" val="10000"/>
      </customFilters>
    </filterColumn>
  </autoFilter>
  <sortState xmlns:xlrd2="http://schemas.microsoft.com/office/spreadsheetml/2017/richdata2" ref="A2:E2">
    <sortCondition ref="A1:A2"/>
  </sortState>
  <tableColumns count="5">
    <tableColumn id="5" xr3:uid="{F0735AB6-846A-46A9-9AD2-5E027B4CCCD7}" uniqueName="5" name="Name" queryTableFieldId="5" dataDxfId="29"/>
    <tableColumn id="6" xr3:uid="{96198978-0C0D-40FB-8498-098C8956D0EE}" uniqueName="6" name="Ticker" queryTableFieldId="6"/>
    <tableColumn id="7" xr3:uid="{7DC4B9CD-B651-4D47-8143-3BD4F1A6A6AC}" uniqueName="7" name="ClosePrice" queryTableFieldId="7" dataDxfId="28"/>
    <tableColumn id="8" xr3:uid="{51632573-45F9-4D74-8C83-F8151DD5489B}" uniqueName="8" name="PriceTime" queryTableFieldId="8" dataDxfId="27"/>
    <tableColumn id="4" xr3:uid="{C8F85EEF-0308-4770-B7D9-F4B550B3F98A}" uniqueName="4" name="Error"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FDCEC-B1B5-4481-82BE-4685849333CF}" name="Symbols" displayName="Symbols" ref="A1:C1732" tableType="queryTable" totalsRowShown="0">
  <autoFilter ref="A1:C1732" xr:uid="{884FDCEC-B1B5-4481-82BE-4685849333CF}"/>
  <sortState xmlns:xlrd2="http://schemas.microsoft.com/office/spreadsheetml/2017/richdata2" ref="A2:C1732">
    <sortCondition ref="A1:A1732"/>
  </sortState>
  <tableColumns count="3">
    <tableColumn id="1" xr3:uid="{82B4FCDD-9AFB-4D06-AEF5-AFD8027BF5B6}" uniqueName="1" name="Symbol" queryTableFieldId="1" dataDxfId="26"/>
    <tableColumn id="2" xr3:uid="{8185C70A-30FC-4B11-AA12-C06C6D92CC83}" uniqueName="2" name="Company" queryTableFieldId="2"/>
    <tableColumn id="3" xr3:uid="{E6AD7C44-C602-4F7E-B3A3-A9C953438848}" uniqueName="3" name="Exchang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12-31T06:56:36.45" personId="{BCBCF97F-A1B9-D741-B3DF-EA62D0949190}" id="{A5DCFD5A-B410-3349-AFA5-D9B112F9EBA1}">
    <text>Tổng số vốn đầu tư (không tính lợi nhuận)</text>
  </threadedComment>
  <threadedComment ref="A3" dT="2025-12-31T06:57:50.31" personId="{BCBCF97F-A1B9-D741-B3DF-EA62D0949190}" id="{74C8D758-2051-9944-884D-766076C04619}">
    <text>Tổng số vốn đang đầu tư trong danh mục (chỉ vị thế đang mở / dự định mở, không tính lãi / lỗ)</text>
  </threadedComment>
  <threadedComment ref="A4" dT="2025-12-31T06:59:45.34" personId="{BCBCF97F-A1B9-D741-B3DF-EA62D0949190}" id="{703C33E7-DAC8-9A43-8101-2FB355D16C4A}">
    <text>Số vốn có thể đầu tư còn lại</text>
  </threadedComment>
  <threadedComment ref="A5" dT="2025-12-31T07:00:11.40" personId="{BCBCF97F-A1B9-D741-B3DF-EA62D0949190}" id="{70A09A4D-5059-D949-A5A9-3123828B6656}">
    <text>Tổng lãi / lỗ dự kiến (cho các vị thế đang mở hoặc dự định mở)</text>
  </threadedComment>
  <threadedComment ref="A6" dT="2025-12-31T07:00:40.84" personId="{BCBCF97F-A1B9-D741-B3DF-EA62D0949190}" id="{C856ED8E-3943-F54D-97DB-BFEB0AFD33E7}">
    <text>Tổng lãi / lỗ thực tế (cho các vị thế đã đóng)</text>
  </threadedComment>
  <threadedComment ref="A7" dT="2025-12-31T07:01:03.57" personId="{BCBCF97F-A1B9-D741-B3DF-EA62D0949190}" id="{2C46071B-62A6-3B48-833B-EDDE305F176C}">
    <text>Tổng số lãi / lỗ (cho tất cả vị thế)</text>
  </threadedComment>
  <threadedComment ref="A12" dT="2025-12-31T07:04:29.38" personId="{BCBCF97F-A1B9-D741-B3DF-EA62D0949190}" id="{94EE25AE-A172-3448-B601-077FED2E76A0}">
    <text>Số vị thế đang mở hoặc dự định mở</text>
  </threadedComment>
  <threadedComment ref="A13" dT="2025-12-31T07:05:01.70" personId="{BCBCF97F-A1B9-D741-B3DF-EA62D0949190}" id="{AC7D6E46-E029-DC4F-9858-40158EBCA274}">
    <text>Tỷ lệ cao nhất của vị thế so với toàn bộ danh mục đang mở hoặc dự định mở</text>
  </threadedComment>
  <threadedComment ref="A14" dT="2025-12-31T07:07:04.59" personId="{BCBCF97F-A1B9-D741-B3DF-EA62D0949190}" id="{7C00E3A1-7840-C54A-86FF-0F3ECB44A034}">
    <text>Tỷ lệ phần trăm số lượng vị thế mở đang lỗ trên số lượng vị thế mở đang lãi</text>
  </threadedComment>
  <threadedComment ref="A15" dT="2025-12-31T07:07:24.03" personId="{BCBCF97F-A1B9-D741-B3DF-EA62D0949190}" id="{19307493-BC06-0A47-BA89-D1FCFA795F1E}">
    <text>Thời gian giữ vị thế trung bình</text>
  </threadedComment>
  <threadedComment ref="A16" dT="2025-12-31T07:08:49.09" personId="{BCBCF97F-A1B9-D741-B3DF-EA62D0949190}" id="{2337768F-3481-9D41-9012-2FDF032A1626}">
    <text>Tổng giá trị của các vị thế mở</text>
  </threadedComment>
  <threadedComment ref="A17" dT="2025-12-31T07:09:17.44" personId="{BCBCF97F-A1B9-D741-B3DF-EA62D0949190}" id="{16C177C2-A6C4-C247-8C5F-0349B8804F44}">
    <text>Tổng giá trị của các vị thế đã đóng</text>
  </threadedComment>
  <threadedComment ref="A20" dT="2025-12-31T07:10:46.30" personId="{BCBCF97F-A1B9-D741-B3DF-EA62D0949190}" id="{6273C702-8E18-4C4B-A994-E1A1401B1C62}">
    <text>Tỷ lệ đóng vị thế</text>
  </threadedComment>
  <threadedComment ref="A21" dT="2025-12-31T07:11:19.87" personId="{BCBCF97F-A1B9-D741-B3DF-EA62D0949190}" id="{C8F85ACD-42DB-DB4D-B294-8F610E69D1FE}">
    <text>Tỷ lệ vị thế có lãi trên tổng số vị thế đã đóng</text>
  </threadedComment>
  <threadedComment ref="A22" dT="2025-12-31T07:12:03.95" personId="{BCBCF97F-A1B9-D741-B3DF-EA62D0949190}" id="{6A4F476C-2153-964C-B144-760130CAFC50}">
    <text>Lợi nhuận trung bình
(tổng giá trị vị thế có lãi đã đóng / tổng số vị thế có lãi đã đóng)</text>
  </threadedComment>
  <threadedComment ref="A23" dT="2025-12-31T07:12:37.56" personId="{BCBCF97F-A1B9-D741-B3DF-EA62D0949190}" id="{0942BD29-40A9-6C4E-9031-9166651ED18D}">
    <text>Thua lỗ trung bình
(tổng giá trị vị thế thua lỗ đã đóng / tổng số vị thế thua lỗ đã đóng)</text>
  </threadedComment>
  <threadedComment ref="A24" dT="2025-12-31T07:15:26.20" personId="{BCBCF97F-A1B9-D741-B3DF-EA62D0949190}" id="{11301A71-C746-D74C-AA94-7FE66FC9CA42}">
    <text>Tỷ số lợi nhuận
(Tổng số lãi / Tổng số lỗ)
Ví dụ: 2 nghĩa là lãi gấp đôi lỗ -&gt; vẫn có lợi nhuận là 1/2 số lãi hiện tại</text>
  </threadedComment>
  <threadedComment ref="A25" dT="2025-12-31T07:26:25.76" personId="{BCBCF97F-A1B9-D741-B3DF-EA62D0949190}" id="{13CA8557-A4B0-A746-BFC7-376025D2CDB5}">
    <text>Kỳ vọng lợi nhuận trung bình cho mỗi giao dịch</text>
  </threadedComment>
  <threadedComment ref="A26" dT="2025-12-31T07:25:56.19" personId="{BCBCF97F-A1B9-D741-B3DF-EA62D0949190}" id="{91401F9F-6781-DA42-8F7C-944C6AC0B3B1}">
    <text>Tỷ lệ kỳ vọng lợi nhuận (lợi nhuận trung bình kỳ vọng cho mỗi giao dịch)
Tỷ lệ này phù hợp nếu các vị thế có giá trị tương đương nhau. Khi đó %Gain tương đương nhau, kết hợp với Win rate sẽ thể hiện kỳ vọng chính xác.</text>
  </threadedComment>
</ThreadedComments>
</file>

<file path=xl/threadedComments/threadedComment2.xml><?xml version="1.0" encoding="utf-8"?>
<ThreadedComments xmlns="http://schemas.microsoft.com/office/spreadsheetml/2018/threadedcomments" xmlns:x="http://schemas.openxmlformats.org/spreadsheetml/2006/main">
  <threadedComment ref="H3" dT="2026-01-05T14:07:38.58" personId="{BCBCF97F-A1B9-D741-B3DF-EA62D0949190}" id="{711C743D-FB40-084C-9E80-B15208166C61}">
    <text>Red if Current price is less than Expected price.
Green if Current price is larger than or equal to Expected price.
(For open positions)</text>
  </threadedComment>
  <threadedComment ref="K3" dT="2026-01-05T14:32:08.40" personId="{BCBCF97F-A1B9-D741-B3DF-EA62D0949190}" id="{494F6C6E-A1E5-4D46-879E-22518141923B}">
    <text>Green if there is Close price for Open position and it's over Expected profit rate.
Yellow if there is Close price for Open positions but it's not over Expected profit rate.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0EAF-5588-0748-94D3-DB91EA2BECFD}">
  <sheetPr>
    <tabColor rgb="FF002060"/>
  </sheetPr>
  <dimension ref="A1:T31"/>
  <sheetViews>
    <sheetView zoomScaleNormal="100" zoomScaleSheetLayoutView="106" workbookViewId="0">
      <selection activeCell="B9" sqref="B9"/>
    </sheetView>
  </sheetViews>
  <sheetFormatPr baseColWidth="10" defaultColWidth="11" defaultRowHeight="30" customHeight="1" x14ac:dyDescent="0.25"/>
  <cols>
    <col min="1" max="1" width="29.6640625" style="1" customWidth="1"/>
    <col min="2" max="2" width="26.5" style="1" customWidth="1"/>
    <col min="3" max="3" width="21.1640625" style="1" customWidth="1"/>
    <col min="4" max="16384" width="11" style="1"/>
  </cols>
  <sheetData>
    <row r="1" spans="1:20" ht="41.25" customHeight="1" x14ac:dyDescent="0.25">
      <c r="A1" s="43" t="s">
        <v>3471</v>
      </c>
      <c r="B1" s="43"/>
      <c r="C1" s="43"/>
      <c r="D1" s="43"/>
      <c r="E1" s="2"/>
      <c r="F1" s="2"/>
      <c r="G1" s="2"/>
      <c r="H1" s="2"/>
      <c r="I1" s="2"/>
      <c r="J1" s="2"/>
      <c r="K1" s="2"/>
      <c r="L1" s="2"/>
      <c r="M1" s="2"/>
      <c r="N1" s="2"/>
      <c r="O1" s="2"/>
      <c r="P1" s="2"/>
      <c r="Q1" s="2"/>
      <c r="R1" s="2"/>
      <c r="S1" s="2"/>
      <c r="T1" s="2"/>
    </row>
    <row r="2" spans="1:20" ht="30" customHeight="1" x14ac:dyDescent="0.25">
      <c r="A2" s="11" t="s">
        <v>3459</v>
      </c>
      <c r="B2" s="14">
        <v>500000000</v>
      </c>
      <c r="C2" s="2"/>
      <c r="D2" s="2"/>
      <c r="E2" s="2"/>
      <c r="F2" s="2"/>
      <c r="G2" s="2"/>
      <c r="H2" s="2"/>
      <c r="I2" s="2"/>
      <c r="J2" s="2"/>
      <c r="K2" s="2"/>
      <c r="L2" s="2"/>
      <c r="M2" s="2"/>
      <c r="N2" s="2"/>
      <c r="O2" s="2"/>
      <c r="P2" s="2"/>
      <c r="Q2" s="2"/>
      <c r="R2" s="2"/>
      <c r="S2" s="2"/>
      <c r="T2" s="2"/>
    </row>
    <row r="3" spans="1:20" ht="30" customHeight="1" x14ac:dyDescent="0.25">
      <c r="A3" s="11" t="s">
        <v>3461</v>
      </c>
      <c r="B3" s="14">
        <f>SUMIFS(Portfolio[Investment Value], Portfolio[Status], "&lt;&gt;CLOSED")</f>
        <v>100000</v>
      </c>
      <c r="C3" s="12">
        <f>IFERROR(B3/B2,0)</f>
        <v>2.0000000000000001E-4</v>
      </c>
      <c r="D3" s="2"/>
      <c r="E3" s="2"/>
      <c r="F3" s="2"/>
      <c r="G3" s="2"/>
      <c r="H3" s="2"/>
      <c r="I3" s="2"/>
      <c r="J3" s="2"/>
      <c r="K3" s="2"/>
      <c r="L3" s="2"/>
      <c r="M3" s="2"/>
      <c r="N3" s="2"/>
      <c r="O3" s="2"/>
      <c r="P3" s="2"/>
      <c r="Q3" s="2"/>
      <c r="R3" s="2"/>
      <c r="S3" s="2"/>
      <c r="T3" s="2"/>
    </row>
    <row r="4" spans="1:20" ht="30" customHeight="1" x14ac:dyDescent="0.25">
      <c r="A4" s="11" t="s">
        <v>3463</v>
      </c>
      <c r="B4" s="14">
        <f>B2-B3</f>
        <v>499900000</v>
      </c>
      <c r="C4" s="12">
        <f>IFERROR(B4/B2,0)</f>
        <v>0.99980000000000002</v>
      </c>
      <c r="D4" s="2"/>
      <c r="E4" s="2"/>
      <c r="F4" s="2"/>
      <c r="G4" s="2"/>
      <c r="H4" s="2"/>
      <c r="I4" s="2"/>
      <c r="J4" s="2"/>
      <c r="K4" s="2"/>
      <c r="L4" s="2"/>
      <c r="M4" s="2"/>
      <c r="N4" s="2"/>
      <c r="O4" s="2"/>
      <c r="P4" s="2"/>
      <c r="Q4" s="2"/>
      <c r="R4" s="2"/>
      <c r="S4" s="2"/>
      <c r="T4" s="2"/>
    </row>
    <row r="5" spans="1:20" ht="30" customHeight="1" x14ac:dyDescent="0.25">
      <c r="A5" s="11" t="s">
        <v>6</v>
      </c>
      <c r="B5" s="14">
        <f>SUMIFS(Portfolio[P/L], Portfolio[Status], "&lt;&gt;CLOSED")</f>
        <v>-39100</v>
      </c>
      <c r="C5" s="12">
        <f>B5/B3</f>
        <v>-0.39100000000000001</v>
      </c>
      <c r="D5" s="2"/>
      <c r="E5" s="2"/>
      <c r="F5" s="2"/>
      <c r="G5" s="2"/>
      <c r="H5" s="2"/>
      <c r="I5" s="2"/>
      <c r="J5" s="2"/>
      <c r="K5" s="2"/>
      <c r="L5" s="2"/>
      <c r="M5" s="2"/>
      <c r="N5" s="2"/>
      <c r="O5" s="2"/>
      <c r="P5" s="2"/>
      <c r="Q5" s="2"/>
      <c r="R5" s="2"/>
      <c r="S5" s="2"/>
      <c r="T5" s="2"/>
    </row>
    <row r="6" spans="1:20" ht="30" customHeight="1" x14ac:dyDescent="0.25">
      <c r="A6" s="11" t="s">
        <v>3470</v>
      </c>
      <c r="B6" s="14">
        <f>SUMIFS(Portfolio[P/L], Portfolio[Status], "CLOSED")</f>
        <v>0</v>
      </c>
      <c r="C6" s="12">
        <f>IFERROR(B6/SUMIFS(Portfolio[Investment Value], Portfolio[Status], "CLOSED"), 0)</f>
        <v>0</v>
      </c>
      <c r="D6" s="2"/>
      <c r="E6" s="2"/>
      <c r="F6" s="2"/>
      <c r="G6" s="2"/>
      <c r="H6" s="2"/>
      <c r="I6" s="2"/>
      <c r="J6" s="2"/>
      <c r="K6" s="2"/>
      <c r="L6" s="2"/>
      <c r="M6" s="2"/>
      <c r="N6" s="2"/>
      <c r="O6" s="2"/>
      <c r="P6" s="2"/>
      <c r="Q6" s="2"/>
      <c r="R6" s="2"/>
      <c r="S6" s="2"/>
      <c r="T6" s="2"/>
    </row>
    <row r="7" spans="1:20" ht="30" customHeight="1" x14ac:dyDescent="0.25">
      <c r="A7" s="11" t="s">
        <v>3462</v>
      </c>
      <c r="B7" s="14">
        <f>Portfolio[[#Totals],[P/L]]</f>
        <v>-39100</v>
      </c>
      <c r="C7" s="12">
        <f>Portfolio[[#Totals],[% P/L]]</f>
        <v>-0.39100000000000001</v>
      </c>
      <c r="D7" s="2"/>
      <c r="E7" s="2"/>
      <c r="F7" s="2"/>
      <c r="G7" s="2"/>
      <c r="H7" s="2"/>
      <c r="I7" s="2"/>
      <c r="J7" s="2"/>
      <c r="K7" s="2"/>
      <c r="L7" s="2"/>
      <c r="M7" s="2"/>
      <c r="N7" s="2"/>
      <c r="O7" s="2"/>
      <c r="P7" s="2"/>
      <c r="Q7" s="2"/>
      <c r="R7" s="2"/>
      <c r="S7" s="2"/>
      <c r="T7" s="2"/>
    </row>
    <row r="8" spans="1:20" ht="30" customHeight="1" x14ac:dyDescent="0.25">
      <c r="A8" s="11" t="s">
        <v>3500</v>
      </c>
      <c r="B8" s="16">
        <v>0.05</v>
      </c>
      <c r="C8" s="12"/>
      <c r="D8" s="2"/>
      <c r="E8" s="2"/>
      <c r="F8" s="2"/>
      <c r="G8" s="2"/>
      <c r="H8" s="2"/>
      <c r="I8" s="2"/>
      <c r="J8" s="2"/>
      <c r="K8" s="2"/>
      <c r="L8" s="2"/>
      <c r="M8" s="2"/>
      <c r="N8" s="2"/>
      <c r="O8" s="2"/>
      <c r="P8" s="2"/>
      <c r="Q8" s="2"/>
      <c r="R8" s="2"/>
      <c r="S8" s="2"/>
      <c r="T8" s="2"/>
    </row>
    <row r="9" spans="1:20" ht="30" customHeight="1" x14ac:dyDescent="0.25">
      <c r="A9" s="11" t="s">
        <v>3502</v>
      </c>
      <c r="B9" s="14">
        <f>Portfolio[[#Totals],[Income]]</f>
        <v>0</v>
      </c>
      <c r="C9" s="12"/>
      <c r="D9" s="2"/>
      <c r="E9" s="2"/>
      <c r="F9" s="2"/>
      <c r="G9" s="2"/>
      <c r="H9" s="2"/>
      <c r="I9" s="2"/>
      <c r="J9" s="2"/>
      <c r="K9" s="2"/>
      <c r="L9" s="2"/>
      <c r="M9" s="2"/>
      <c r="N9" s="2"/>
      <c r="O9" s="2"/>
      <c r="P9" s="2"/>
      <c r="Q9" s="2"/>
      <c r="R9" s="2"/>
      <c r="S9" s="2"/>
      <c r="T9" s="2"/>
    </row>
    <row r="10" spans="1:20" ht="30" customHeight="1" x14ac:dyDescent="0.25">
      <c r="A10" s="11"/>
      <c r="B10" s="2"/>
      <c r="C10" s="2"/>
      <c r="D10" s="2"/>
      <c r="E10" s="2"/>
      <c r="F10" s="2"/>
      <c r="G10" s="2"/>
      <c r="H10" s="2"/>
      <c r="I10" s="2"/>
      <c r="J10" s="2"/>
      <c r="K10" s="2"/>
      <c r="L10" s="2"/>
      <c r="M10" s="2"/>
      <c r="N10" s="2"/>
      <c r="O10" s="2"/>
      <c r="P10" s="2"/>
      <c r="Q10" s="2"/>
      <c r="R10" s="2"/>
      <c r="S10" s="2"/>
      <c r="T10" s="2"/>
    </row>
    <row r="11" spans="1:20" ht="41.25" customHeight="1" x14ac:dyDescent="0.25">
      <c r="A11" s="43" t="s">
        <v>3467</v>
      </c>
      <c r="B11" s="43"/>
      <c r="C11" s="43"/>
      <c r="D11" s="43"/>
      <c r="E11" s="2"/>
      <c r="F11" s="2"/>
      <c r="G11" s="2"/>
      <c r="H11" s="2"/>
      <c r="I11" s="2"/>
      <c r="J11" s="2"/>
      <c r="K11" s="2"/>
      <c r="L11" s="2"/>
      <c r="M11" s="2"/>
      <c r="N11" s="2"/>
      <c r="O11" s="2"/>
      <c r="P11" s="2"/>
      <c r="Q11" s="2"/>
      <c r="R11" s="2"/>
      <c r="S11" s="2"/>
      <c r="T11" s="2"/>
    </row>
    <row r="12" spans="1:20" ht="30" customHeight="1" x14ac:dyDescent="0.25">
      <c r="A12" s="11" t="s">
        <v>3486</v>
      </c>
      <c r="B12" s="15">
        <f>COUNTIF(Portfolio[Status],"&lt;&gt;CLOSED")</f>
        <v>1</v>
      </c>
      <c r="C12" s="12">
        <f>IFERROR(B12/COUNTA(Portfolio[Symbol]),0)</f>
        <v>1</v>
      </c>
      <c r="D12" s="3"/>
      <c r="E12" s="2"/>
      <c r="F12" s="2"/>
      <c r="G12" s="2"/>
      <c r="H12" s="2"/>
      <c r="I12" s="2"/>
      <c r="J12" s="2"/>
      <c r="K12" s="2"/>
      <c r="L12" s="2"/>
      <c r="M12" s="2"/>
      <c r="N12" s="2"/>
      <c r="O12" s="2"/>
      <c r="P12" s="2"/>
      <c r="Q12" s="2"/>
      <c r="R12" s="2"/>
      <c r="S12" s="2"/>
      <c r="T12" s="2"/>
    </row>
    <row r="13" spans="1:20" ht="41.25" customHeight="1" x14ac:dyDescent="0.25">
      <c r="A13" s="13" t="s">
        <v>3482</v>
      </c>
      <c r="B13" s="16">
        <f>_xlfn.MAXIFS(Portfolio[Investment Value], Portfolio[Status], "&lt;&gt;CLOSED") / B3</f>
        <v>1</v>
      </c>
      <c r="C13" s="2"/>
      <c r="D13" s="2"/>
      <c r="E13" s="2"/>
      <c r="F13" s="2"/>
      <c r="G13" s="2"/>
      <c r="H13" s="2"/>
      <c r="I13" s="2"/>
      <c r="J13" s="2"/>
      <c r="K13" s="2"/>
      <c r="L13" s="2"/>
      <c r="M13" s="2"/>
      <c r="N13" s="2"/>
      <c r="O13" s="2"/>
      <c r="P13" s="2"/>
      <c r="Q13" s="2"/>
      <c r="R13" s="2"/>
      <c r="S13" s="2"/>
      <c r="T13" s="2"/>
    </row>
    <row r="14" spans="1:20" ht="30" customHeight="1" x14ac:dyDescent="0.25">
      <c r="A14" s="13" t="s">
        <v>3489</v>
      </c>
      <c r="B14" s="16">
        <f>IFERROR(COUNTIFS(Portfolio[Status], "&lt;&gt;CLOSED", Portfolio[P/L], "&lt;0") / COUNTIF(Portfolio[Status], "&lt;&gt;CLOSED"),0)</f>
        <v>1</v>
      </c>
      <c r="C14" s="2"/>
      <c r="D14" s="2"/>
      <c r="E14" s="2"/>
      <c r="F14" s="2"/>
      <c r="G14" s="2"/>
      <c r="H14" s="2"/>
      <c r="I14" s="2"/>
      <c r="J14" s="2"/>
      <c r="K14" s="2"/>
      <c r="L14" s="2"/>
      <c r="M14" s="2"/>
      <c r="N14" s="2"/>
      <c r="O14" s="2"/>
      <c r="P14" s="2"/>
      <c r="Q14" s="2"/>
      <c r="R14" s="2"/>
      <c r="S14" s="2"/>
      <c r="T14" s="2"/>
    </row>
    <row r="15" spans="1:20" ht="30" customHeight="1" x14ac:dyDescent="0.25">
      <c r="A15" s="11" t="s">
        <v>3487</v>
      </c>
      <c r="B15" s="18">
        <f ca="1">Portfolio[[#Totals],[Holding Days]]</f>
        <v>0</v>
      </c>
      <c r="C15" s="2"/>
      <c r="D15" s="2"/>
      <c r="E15" s="2"/>
      <c r="F15" s="2"/>
      <c r="G15" s="2"/>
      <c r="H15" s="2"/>
      <c r="I15" s="2"/>
      <c r="J15" s="2"/>
      <c r="K15" s="2"/>
      <c r="L15" s="2"/>
      <c r="M15" s="2"/>
      <c r="N15" s="2"/>
      <c r="O15" s="2"/>
      <c r="P15" s="2"/>
      <c r="Q15" s="2"/>
      <c r="R15" s="2"/>
      <c r="S15" s="2"/>
      <c r="T15" s="2"/>
    </row>
    <row r="16" spans="1:20" ht="30" customHeight="1" x14ac:dyDescent="0.25">
      <c r="A16" s="11" t="s">
        <v>3468</v>
      </c>
      <c r="B16" s="14">
        <f>SUMIFS(Portfolio[Return Value], Portfolio[Status], "&lt;&gt;CLOSED")</f>
        <v>60900</v>
      </c>
      <c r="C16" s="2"/>
      <c r="D16" s="2"/>
      <c r="E16" s="2"/>
      <c r="F16" s="2"/>
      <c r="G16" s="2"/>
      <c r="H16" s="2"/>
      <c r="I16" s="2"/>
      <c r="J16" s="2"/>
      <c r="K16" s="2"/>
      <c r="L16" s="2"/>
      <c r="M16" s="2"/>
      <c r="N16" s="2"/>
      <c r="O16" s="2"/>
      <c r="P16" s="2"/>
      <c r="Q16" s="2"/>
      <c r="R16" s="2"/>
      <c r="S16" s="2"/>
      <c r="T16" s="2"/>
    </row>
    <row r="17" spans="1:20" ht="30" customHeight="1" x14ac:dyDescent="0.25">
      <c r="A17" s="11" t="s">
        <v>3469</v>
      </c>
      <c r="B17" s="14">
        <f>SUMIFS(Portfolio[Return Value], Portfolio[Status], "CLOSED")</f>
        <v>0</v>
      </c>
      <c r="C17" s="2"/>
      <c r="D17" s="2"/>
      <c r="E17" s="2"/>
      <c r="F17" s="2"/>
      <c r="G17" s="2"/>
      <c r="H17" s="2"/>
      <c r="I17" s="2"/>
      <c r="J17" s="2"/>
      <c r="K17" s="2"/>
      <c r="L17" s="2"/>
      <c r="M17" s="2"/>
      <c r="N17" s="2"/>
      <c r="O17" s="2"/>
      <c r="P17" s="2"/>
      <c r="Q17" s="2"/>
      <c r="R17" s="2"/>
      <c r="S17" s="2"/>
      <c r="T17" s="2"/>
    </row>
    <row r="18" spans="1:20" ht="30" customHeight="1" x14ac:dyDescent="0.25">
      <c r="A18" s="11"/>
      <c r="B18" s="7"/>
      <c r="C18" s="12"/>
      <c r="D18" s="2"/>
      <c r="E18" s="2"/>
      <c r="F18" s="2"/>
      <c r="G18" s="2"/>
      <c r="H18" s="2"/>
      <c r="I18" s="2"/>
      <c r="J18" s="2"/>
      <c r="K18" s="2"/>
      <c r="L18" s="2"/>
      <c r="M18" s="2"/>
      <c r="N18" s="2"/>
      <c r="O18" s="2"/>
      <c r="P18" s="2"/>
      <c r="Q18" s="2"/>
      <c r="R18" s="2"/>
      <c r="S18" s="2"/>
      <c r="T18" s="2"/>
    </row>
    <row r="19" spans="1:20" ht="30" customHeight="1" x14ac:dyDescent="0.25">
      <c r="A19" s="43" t="s">
        <v>3464</v>
      </c>
      <c r="B19" s="43"/>
      <c r="C19" s="43"/>
      <c r="D19" s="43"/>
      <c r="E19" s="2"/>
      <c r="F19" s="2"/>
      <c r="G19" s="2"/>
      <c r="H19" s="2"/>
      <c r="I19" s="2"/>
      <c r="J19" s="2"/>
      <c r="K19" s="2"/>
      <c r="L19" s="2"/>
      <c r="M19" s="2"/>
      <c r="N19" s="2"/>
      <c r="O19" s="2"/>
      <c r="P19" s="2"/>
      <c r="Q19" s="2"/>
      <c r="R19" s="2"/>
      <c r="S19" s="2"/>
      <c r="T19" s="2"/>
    </row>
    <row r="20" spans="1:20" ht="30" customHeight="1" x14ac:dyDescent="0.25">
      <c r="A20" s="11" t="s">
        <v>3485</v>
      </c>
      <c r="B20" s="16">
        <f>IFERROR(COUNTIF(Portfolio[Status],"CLOSED")/COUNTA(Portfolio[Symbol]),0)</f>
        <v>0</v>
      </c>
      <c r="C20" s="36" t="s">
        <v>3488</v>
      </c>
      <c r="D20" s="2"/>
      <c r="E20" s="2"/>
      <c r="F20" s="2"/>
      <c r="G20" s="2"/>
      <c r="H20" s="2"/>
      <c r="I20" s="2"/>
      <c r="J20" s="2"/>
      <c r="K20" s="2"/>
      <c r="L20" s="2"/>
      <c r="M20" s="2"/>
      <c r="N20" s="2"/>
      <c r="O20" s="2"/>
      <c r="P20" s="2"/>
      <c r="Q20" s="2"/>
      <c r="R20" s="2"/>
      <c r="S20" s="2"/>
      <c r="T20" s="2"/>
    </row>
    <row r="21" spans="1:20" ht="30" customHeight="1" x14ac:dyDescent="0.25">
      <c r="A21" s="11" t="s">
        <v>3465</v>
      </c>
      <c r="B21" s="16" cm="1">
        <f t="array" ref="B21">IFERROR(SUM(COUNTIFS(Portfolio[Status],{"CLOSED";"OPEN"}, Portfolio[P/L], "&gt;0"))/SUM(COUNTIF(Portfolio[Status], {"CLOSED";"OPEN"})),0)</f>
        <v>0</v>
      </c>
      <c r="C21" s="8"/>
      <c r="D21" s="2"/>
      <c r="E21" s="2"/>
      <c r="F21" s="2"/>
      <c r="G21" s="2"/>
      <c r="H21" s="2"/>
      <c r="I21" s="2"/>
      <c r="J21" s="2"/>
      <c r="K21" s="2"/>
      <c r="L21" s="2"/>
      <c r="M21" s="2"/>
      <c r="N21" s="2"/>
      <c r="O21" s="2"/>
      <c r="P21" s="2"/>
      <c r="Q21" s="2"/>
      <c r="R21" s="2"/>
      <c r="S21" s="2"/>
      <c r="T21" s="2"/>
    </row>
    <row r="22" spans="1:20" ht="30" customHeight="1" x14ac:dyDescent="0.25">
      <c r="A22" s="11" t="s">
        <v>3480</v>
      </c>
      <c r="B22" s="14" cm="1">
        <f t="array" ref="B22">IFERROR(SUM(SUMIFS(Portfolio[P/L], Portfolio[Status], {"CLOSED";"OPEN"}, Portfolio[P/L], "&gt;0")) / SUM(COUNTIFS(Portfolio[Status], {"CLOSED";"OPEN"}, Portfolio[P/L], "&gt;0")),0)</f>
        <v>0</v>
      </c>
      <c r="C22" s="12" cm="1">
        <f t="array" ref="C22">IFERROR(SUM(SUMIFS(Portfolio[% P/L], Portfolio[Status], {"CLOSED";"OPEN"}, Portfolio[P/L], "&gt;0")) / SUM(COUNTIFS(Portfolio[Status], {"CLOSED";"OPEN"}, Portfolio[P/L], "&gt;0")),0)</f>
        <v>0</v>
      </c>
      <c r="D22" s="2"/>
      <c r="E22" s="2"/>
      <c r="F22" s="2"/>
      <c r="G22" s="2"/>
      <c r="H22" s="2"/>
      <c r="I22" s="2"/>
      <c r="J22" s="2"/>
      <c r="K22" s="2"/>
      <c r="L22" s="2"/>
      <c r="M22" s="2"/>
      <c r="N22" s="2"/>
      <c r="O22" s="2"/>
      <c r="P22" s="2"/>
      <c r="Q22" s="2"/>
      <c r="R22" s="2"/>
      <c r="S22" s="2"/>
      <c r="T22" s="2"/>
    </row>
    <row r="23" spans="1:20" ht="30" customHeight="1" x14ac:dyDescent="0.25">
      <c r="A23" s="11" t="s">
        <v>3481</v>
      </c>
      <c r="B23" s="14" cm="1">
        <f t="array" ref="B23">IFERROR(SUM(SUMIFS(Portfolio[P/L], Portfolio[Status], {"CLOSED";"OPEN"}, Portfolio[P/L], "&lt;0")) / SUM(COUNTIFS(Portfolio[Status], {"CLOSED";"OPEN"}, Portfolio[P/L], "&lt;0")),0)</f>
        <v>-39100</v>
      </c>
      <c r="C23" s="12" cm="1">
        <f t="array" ref="C23">IFERROR(SUM(SUMIFS(Portfolio[% P/L], Portfolio[Status], {"CLOSED";"OPEN"}, Portfolio[P/L], "&lt;0")) / SUM(COUNTIFS(Portfolio[Status], {"CLOSED";"OPEN"}, Portfolio[P/L], "&lt;0")),0)</f>
        <v>-0.39100000000000001</v>
      </c>
      <c r="D23" s="2"/>
      <c r="E23" s="2"/>
      <c r="F23" s="2"/>
      <c r="G23" s="2"/>
      <c r="H23" s="2"/>
      <c r="I23" s="2"/>
      <c r="J23" s="2"/>
      <c r="K23" s="2"/>
      <c r="L23" s="2"/>
      <c r="M23" s="2"/>
      <c r="N23" s="2"/>
      <c r="O23" s="2"/>
      <c r="P23" s="2"/>
      <c r="Q23" s="2"/>
      <c r="R23" s="2"/>
      <c r="S23" s="2"/>
      <c r="T23" s="2"/>
    </row>
    <row r="24" spans="1:20" ht="30" customHeight="1" x14ac:dyDescent="0.25">
      <c r="A24" s="11" t="s">
        <v>3466</v>
      </c>
      <c r="B24" s="17">
        <f>IFERROR(ABS(SUMIFS(Portfolio[P/L],Portfolio[P/L],"&gt;0") / SUMIFS(Portfolio[P/L],Portfolio[P/L],"&lt;0")), 0)</f>
        <v>0</v>
      </c>
      <c r="C24" s="36" t="s">
        <v>3478</v>
      </c>
      <c r="D24" s="2"/>
      <c r="E24" s="2"/>
      <c r="F24" s="2"/>
      <c r="G24" s="2"/>
      <c r="H24" s="2"/>
      <c r="I24" s="2"/>
      <c r="J24" s="2"/>
      <c r="K24" s="2"/>
      <c r="L24" s="2"/>
      <c r="M24" s="2"/>
      <c r="N24" s="2"/>
      <c r="O24" s="2"/>
      <c r="P24" s="2"/>
      <c r="Q24" s="2"/>
      <c r="R24" s="2"/>
      <c r="S24" s="2"/>
      <c r="T24" s="2"/>
    </row>
    <row r="25" spans="1:20" ht="30" customHeight="1" x14ac:dyDescent="0.25">
      <c r="A25" s="11" t="s">
        <v>3477</v>
      </c>
      <c r="B25" s="14" cm="1">
        <f t="array" ref="B25">IFERROR(SUM(SUMIFS(Portfolio[P/L],Portfolio[Status],{"CLOSED";"OPEN"}))/SUM(COUNTIF(Portfolio[Status], {"CLOSED";"OPEN"})),0)</f>
        <v>-39100</v>
      </c>
      <c r="C25" s="36" t="s">
        <v>3494</v>
      </c>
      <c r="D25" s="2"/>
      <c r="E25" s="2"/>
      <c r="F25" s="2"/>
      <c r="G25" s="2"/>
      <c r="H25" s="2"/>
      <c r="I25" s="2"/>
      <c r="J25" s="2"/>
      <c r="K25" s="2"/>
      <c r="L25" s="2"/>
      <c r="M25" s="2"/>
      <c r="N25" s="2"/>
      <c r="O25" s="2"/>
      <c r="P25" s="2"/>
      <c r="Q25" s="2"/>
      <c r="R25" s="2"/>
      <c r="S25" s="2"/>
      <c r="T25" s="2"/>
    </row>
    <row r="26" spans="1:20" ht="40.5" customHeight="1" x14ac:dyDescent="0.25">
      <c r="A26" s="13" t="s">
        <v>3479</v>
      </c>
      <c r="B26" s="37">
        <f>B21*C22+(1-B21)*C23</f>
        <v>-0.39100000000000001</v>
      </c>
      <c r="C26" s="36" t="s">
        <v>3495</v>
      </c>
      <c r="D26" s="2"/>
      <c r="E26" s="2"/>
      <c r="F26" s="2"/>
      <c r="G26" s="2"/>
      <c r="H26" s="2"/>
      <c r="I26" s="2"/>
      <c r="J26" s="2"/>
      <c r="K26" s="2"/>
      <c r="L26" s="2"/>
      <c r="M26" s="2"/>
      <c r="N26" s="2"/>
      <c r="O26" s="2"/>
      <c r="P26" s="2"/>
      <c r="Q26" s="2"/>
      <c r="R26" s="2"/>
      <c r="S26" s="2"/>
      <c r="T26" s="2"/>
    </row>
    <row r="27" spans="1:20" ht="30" customHeight="1" x14ac:dyDescent="0.25">
      <c r="A27" s="11"/>
      <c r="B27" s="7"/>
      <c r="C27" s="2"/>
      <c r="D27" s="2"/>
      <c r="E27" s="2"/>
      <c r="F27" s="2"/>
      <c r="G27" s="2"/>
      <c r="H27" s="2"/>
      <c r="I27" s="2"/>
      <c r="J27" s="2"/>
      <c r="K27" s="2"/>
      <c r="L27" s="2"/>
      <c r="M27" s="2"/>
      <c r="N27" s="2"/>
      <c r="O27" s="2"/>
      <c r="P27" s="2"/>
      <c r="Q27" s="2"/>
      <c r="R27" s="2"/>
      <c r="S27" s="2"/>
      <c r="T27" s="2"/>
    </row>
    <row r="28" spans="1:20" ht="30" customHeight="1" x14ac:dyDescent="0.25">
      <c r="A28" s="11"/>
      <c r="B28" s="7"/>
      <c r="C28" s="2"/>
      <c r="D28" s="2"/>
      <c r="E28" s="2"/>
      <c r="F28" s="2"/>
      <c r="G28" s="2"/>
      <c r="H28" s="2"/>
      <c r="I28" s="2"/>
      <c r="J28" s="2"/>
      <c r="K28" s="2"/>
      <c r="L28" s="2"/>
      <c r="M28" s="2"/>
      <c r="N28" s="2"/>
      <c r="O28" s="2"/>
      <c r="P28" s="2"/>
      <c r="Q28" s="2"/>
      <c r="R28" s="2"/>
      <c r="S28" s="2"/>
      <c r="T28" s="2"/>
    </row>
    <row r="29" spans="1:20" ht="30" customHeight="1" x14ac:dyDescent="0.25">
      <c r="A29" s="11"/>
      <c r="B29" s="2"/>
      <c r="C29" s="2"/>
      <c r="D29" s="2"/>
      <c r="E29" s="2"/>
      <c r="F29" s="2"/>
      <c r="G29" s="2"/>
      <c r="H29" s="2"/>
      <c r="I29" s="2"/>
      <c r="J29" s="2"/>
      <c r="K29" s="2"/>
      <c r="L29" s="2"/>
      <c r="M29" s="2"/>
      <c r="N29" s="2"/>
      <c r="O29" s="2"/>
      <c r="P29" s="2"/>
      <c r="Q29" s="2"/>
      <c r="R29" s="2"/>
      <c r="S29" s="2"/>
      <c r="T29" s="2"/>
    </row>
    <row r="30" spans="1:20" ht="30" customHeight="1" x14ac:dyDescent="0.25">
      <c r="A30" s="11"/>
      <c r="B30" s="2"/>
      <c r="C30" s="2"/>
      <c r="D30" s="2"/>
      <c r="E30" s="2"/>
      <c r="F30" s="2"/>
      <c r="G30" s="2"/>
      <c r="H30" s="2"/>
      <c r="I30" s="2"/>
      <c r="J30" s="2"/>
      <c r="K30" s="2"/>
      <c r="L30" s="2"/>
      <c r="M30" s="2"/>
      <c r="N30" s="2"/>
      <c r="O30" s="2"/>
      <c r="P30" s="2"/>
      <c r="Q30" s="2"/>
      <c r="R30" s="2"/>
      <c r="S30" s="2"/>
      <c r="T30" s="2"/>
    </row>
    <row r="31" spans="1:20" ht="30" customHeight="1" x14ac:dyDescent="0.25">
      <c r="A31" s="2"/>
      <c r="B31" s="2"/>
      <c r="C31" s="2"/>
      <c r="D31" s="2"/>
      <c r="E31" s="2"/>
      <c r="F31" s="2"/>
      <c r="G31" s="2"/>
      <c r="H31" s="2"/>
      <c r="I31" s="2"/>
      <c r="J31" s="2"/>
      <c r="K31" s="2"/>
      <c r="L31" s="2"/>
      <c r="M31" s="2"/>
      <c r="N31" s="2"/>
      <c r="O31" s="2"/>
      <c r="P31" s="2"/>
      <c r="Q31" s="2"/>
      <c r="R31" s="2"/>
      <c r="S31" s="2"/>
      <c r="T31" s="2"/>
    </row>
  </sheetData>
  <sheetProtection pivotTables="0"/>
  <mergeCells count="3">
    <mergeCell ref="A1:D1"/>
    <mergeCell ref="A19:D19"/>
    <mergeCell ref="A11:D11"/>
  </mergeCells>
  <conditionalFormatting sqref="B5:B7">
    <cfRule type="cellIs" dxfId="25" priority="1" operator="lessThan">
      <formula>0</formula>
    </cfRule>
  </conditionalFormatting>
  <conditionalFormatting sqref="B15">
    <cfRule type="colorScale" priority="8">
      <colorScale>
        <cfvo type="num" val="0"/>
        <cfvo type="num" val="15"/>
        <cfvo type="num" val="30"/>
        <color rgb="FF63BE7B"/>
        <color rgb="FFFFEB84"/>
        <color rgb="FFF8696B"/>
      </colorScale>
    </cfRule>
  </conditionalFormatting>
  <conditionalFormatting sqref="B24">
    <cfRule type="iconSet" priority="7">
      <iconSet iconSet="3Symbols">
        <cfvo type="percent" val="0"/>
        <cfvo type="num" val="1.5"/>
        <cfvo type="num" val="2"/>
      </iconSet>
    </cfRule>
  </conditionalFormatting>
  <conditionalFormatting sqref="B26">
    <cfRule type="colorScale" priority="2">
      <colorScale>
        <cfvo type="num" val="0"/>
        <cfvo type="num" val="$B$8/2"/>
        <cfvo type="num" val="$B$8"/>
        <color rgb="FFF8696B"/>
        <color rgb="FFFFEB84"/>
        <color rgb="FF63BE7B"/>
      </colorScale>
    </cfRule>
  </conditionalFormatting>
  <pageMargins left="0.7" right="0.7" top="0.75" bottom="0.75" header="0.3" footer="0.3"/>
  <pageSetup orientation="portrait" horizontalDpi="4294967293"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DCE8-A5CE-204C-A182-293C397C94FB}">
  <sheetPr>
    <tabColor rgb="FF7030A0"/>
  </sheetPr>
  <dimension ref="A1:T5"/>
  <sheetViews>
    <sheetView tabSelected="1" zoomScale="125" zoomScaleNormal="125" workbookViewId="0">
      <pane xSplit="1" ySplit="3" topLeftCell="B4" activePane="bottomRight" state="frozen"/>
      <selection pane="topRight" activeCell="B1" sqref="B1"/>
      <selection pane="bottomLeft" activeCell="A4" sqref="A4"/>
      <selection pane="bottomRight" activeCell="M4" sqref="M4"/>
    </sheetView>
  </sheetViews>
  <sheetFormatPr baseColWidth="10" defaultColWidth="11" defaultRowHeight="30" customHeight="1" x14ac:dyDescent="0.2"/>
  <cols>
    <col min="1" max="1" width="12.83203125" style="20" customWidth="1"/>
    <col min="2" max="2" width="55.5" style="20" customWidth="1"/>
    <col min="3" max="3" width="15" style="20" customWidth="1"/>
    <col min="4" max="4" width="12" style="20" bestFit="1" customWidth="1"/>
    <col min="5" max="5" width="11.5" style="20" bestFit="1" customWidth="1"/>
    <col min="6" max="6" width="13.83203125" style="20" customWidth="1"/>
    <col min="7" max="7" width="17.6640625" style="20" customWidth="1"/>
    <col min="8" max="8" width="18" style="20" customWidth="1"/>
    <col min="9" max="9" width="23.6640625" style="20" customWidth="1"/>
    <col min="10" max="10" width="22.33203125" style="20" customWidth="1"/>
    <col min="11" max="11" width="16" style="20" customWidth="1"/>
    <col min="12" max="12" width="16.83203125" style="20" customWidth="1"/>
    <col min="13" max="13" width="15.1640625" style="20" customWidth="1"/>
    <col min="14" max="14" width="22" style="20" customWidth="1"/>
    <col min="15" max="15" width="17" style="20" customWidth="1"/>
    <col min="16" max="16" width="11.5" style="20" customWidth="1"/>
    <col min="17" max="17" width="18.83203125" style="20" customWidth="1"/>
    <col min="18" max="18" width="22.6640625" style="20" customWidth="1"/>
    <col min="19" max="19" width="15.83203125" style="20" customWidth="1"/>
    <col min="20" max="20" width="25.83203125" style="20" customWidth="1"/>
    <col min="21" max="16384" width="11" style="20"/>
  </cols>
  <sheetData>
    <row r="1" spans="1:20" ht="30" customHeight="1" x14ac:dyDescent="0.2">
      <c r="A1" s="44" t="s">
        <v>0</v>
      </c>
      <c r="B1" s="44"/>
      <c r="C1" s="44"/>
      <c r="D1" s="44"/>
      <c r="E1" s="44"/>
      <c r="F1" s="44"/>
      <c r="G1" s="44"/>
      <c r="H1" s="44"/>
      <c r="I1" s="44"/>
      <c r="J1" s="44"/>
      <c r="K1" s="44"/>
      <c r="L1" s="44"/>
      <c r="M1" s="44"/>
      <c r="N1" s="44"/>
      <c r="O1" s="44"/>
      <c r="P1" s="44"/>
      <c r="Q1" s="44"/>
      <c r="R1" s="44"/>
      <c r="S1" s="44"/>
      <c r="T1" s="44"/>
    </row>
    <row r="2" spans="1:20" ht="30" customHeight="1" x14ac:dyDescent="0.2">
      <c r="A2" s="34"/>
      <c r="B2" s="34"/>
      <c r="C2" s="34"/>
      <c r="D2" s="34"/>
      <c r="E2" s="34"/>
      <c r="F2" s="34"/>
      <c r="G2" s="34"/>
      <c r="H2" s="34"/>
      <c r="I2" s="34"/>
      <c r="J2" s="34"/>
      <c r="K2" s="34"/>
      <c r="L2" s="34"/>
      <c r="M2" s="34"/>
      <c r="N2" s="34"/>
      <c r="O2" s="34"/>
      <c r="P2" s="34"/>
      <c r="Q2" s="34"/>
      <c r="R2" s="34"/>
      <c r="S2" s="34"/>
      <c r="T2" s="34"/>
    </row>
    <row r="3" spans="1:20" ht="30" customHeight="1" x14ac:dyDescent="0.2">
      <c r="A3" s="21" t="s">
        <v>1</v>
      </c>
      <c r="B3" s="21" t="s">
        <v>2</v>
      </c>
      <c r="C3" s="21" t="s">
        <v>3</v>
      </c>
      <c r="D3" s="21" t="s">
        <v>3453</v>
      </c>
      <c r="E3" s="22" t="s">
        <v>4</v>
      </c>
      <c r="F3" s="23" t="s">
        <v>3458</v>
      </c>
      <c r="G3" s="23" t="s">
        <v>3483</v>
      </c>
      <c r="H3" s="23" t="s">
        <v>5</v>
      </c>
      <c r="I3" s="23" t="s">
        <v>3496</v>
      </c>
      <c r="J3" s="21" t="s">
        <v>3454</v>
      </c>
      <c r="K3" s="21" t="s">
        <v>3447</v>
      </c>
      <c r="L3" s="21" t="s">
        <v>3484</v>
      </c>
      <c r="M3" s="21" t="s">
        <v>3455</v>
      </c>
      <c r="N3" s="21" t="s">
        <v>3460</v>
      </c>
      <c r="O3" s="23" t="s">
        <v>3456</v>
      </c>
      <c r="P3" s="23" t="s">
        <v>3457</v>
      </c>
      <c r="Q3" s="23" t="s">
        <v>3492</v>
      </c>
      <c r="R3" s="23" t="s">
        <v>3497</v>
      </c>
      <c r="S3" s="23" t="s">
        <v>3499</v>
      </c>
      <c r="T3" s="23" t="s">
        <v>3501</v>
      </c>
    </row>
    <row r="4" spans="1:20" ht="30" customHeight="1" x14ac:dyDescent="0.2">
      <c r="A4" s="24" t="s">
        <v>8</v>
      </c>
      <c r="B4" s="25" t="str">
        <f>_xlfn.XLOOKUP(Portfolio[[#This Row],[Symbol]],Symbols[Symbol],Symbols[Company],"N/A",0,2)</f>
        <v>Công ty Cổ phần Sữa Việt Nam</v>
      </c>
      <c r="C4" s="25" t="str">
        <f>_xlfn.XLOOKUP(Portfolio[[#This Row],[Symbol]],Symbols[Symbol],Symbols[Exchange],"N/A",0,2)</f>
        <v>HSX</v>
      </c>
      <c r="D4" s="24" t="s">
        <v>3493</v>
      </c>
      <c r="E4" s="26">
        <v>1</v>
      </c>
      <c r="F4" s="27">
        <v>100000</v>
      </c>
      <c r="G4" s="28">
        <v>46029</v>
      </c>
      <c r="H4" s="29" cm="1">
        <f t="array" ref="H4">_xlfn.XLOOKUP(Portfolio[[#This Row],[Symbol]],Prices[Ticker],Prices[ClosePrice],null,0,2)</f>
        <v>60900</v>
      </c>
      <c r="I4" s="38" t="str" cm="1">
        <f t="array" ref="I4">_xlfn.XLOOKUP(Portfolio[[#This Row],[Symbol]],Prices[Ticker],Prices[PriceTime],null,0,2)</f>
        <v>2026-01-07 14:45:00</v>
      </c>
      <c r="J4" s="29">
        <f>Portfolio[[#This Row],[Shares]]*Portfolio[[#This Row],[Buy Price]]</f>
        <v>100000</v>
      </c>
      <c r="K4" s="27">
        <v>100000</v>
      </c>
      <c r="L4" s="28">
        <v>46029</v>
      </c>
      <c r="M4" s="30" t="s">
        <v>3505</v>
      </c>
      <c r="N4" s="29">
        <f>IFERROR(Portfolio[[#This Row],[Shares]] * IF(Portfolio[[#This Row],[Status]]="CLOSED", Portfolio[[#This Row],[Close Price]], Portfolio[[#This Row],[Current Price]]), "")</f>
        <v>60900</v>
      </c>
      <c r="O4" s="39">
        <f>Portfolio[[#This Row],[Return Value]]-Portfolio[[#This Row],[Investment Value]]</f>
        <v>-39100</v>
      </c>
      <c r="P4" s="40">
        <f>IFERROR(Portfolio[[#This Row],[P/L]]/Portfolio[[#This Row],[Investment Value]],0)</f>
        <v>-0.39100000000000001</v>
      </c>
      <c r="Q4" s="35">
        <f ca="1">IF(Portfolio[[#This Row],[Status]]="CLOSED",Portfolio[[#This Row],[Sell Date]]-Portfolio[[#This Row],[Buy Date]],TODAY()-Portfolio[[#This Row],[Buy Date]])</f>
        <v>0</v>
      </c>
      <c r="R4" s="31">
        <f>Portfolio[[#This Row],[P/L]]/Portfolio[[#Totals],[P/L]]</f>
        <v>1</v>
      </c>
      <c r="S4" s="29">
        <v>305550</v>
      </c>
      <c r="T4" s="39">
        <f>IF(Portfolio[[#This Row],[Status]] = "CLOSED",  Portfolio[[#This Row],[P/L]] - Portfolio[[#This Row],[Fee]], 0)</f>
        <v>0</v>
      </c>
    </row>
    <row r="5" spans="1:20" ht="30" customHeight="1" x14ac:dyDescent="0.2">
      <c r="A5" s="25" t="s">
        <v>3446</v>
      </c>
      <c r="B5" s="25"/>
      <c r="C5" s="25"/>
      <c r="D5" s="25"/>
      <c r="E5" s="25"/>
      <c r="F5" s="25"/>
      <c r="G5" s="25"/>
      <c r="H5" s="25"/>
      <c r="I5" s="25"/>
      <c r="J5" s="33">
        <f>SUBTOTAL(109,Portfolio[Investment Value])</f>
        <v>100000</v>
      </c>
      <c r="K5" s="33"/>
      <c r="L5" s="33"/>
      <c r="M5" s="33"/>
      <c r="N5" s="33">
        <f>SUBTOTAL(109,Portfolio[Return Value])</f>
        <v>60900</v>
      </c>
      <c r="O5" s="39">
        <f>SUBTOTAL(109,Portfolio[P/L])</f>
        <v>-39100</v>
      </c>
      <c r="P5" s="40">
        <f>IFERROR(Portfolio[[#Totals],[P/L]] / Portfolio[[#Totals],[Investment Value]], "")</f>
        <v>-0.39100000000000001</v>
      </c>
      <c r="Q5" s="32">
        <f ca="1">SUBTOTAL(101,Portfolio[Holding Days])</f>
        <v>0</v>
      </c>
      <c r="R5" s="31"/>
      <c r="S5" s="29">
        <f>SUBTOTAL(109,Portfolio[Fee])</f>
        <v>305550</v>
      </c>
      <c r="T5" s="39">
        <f>SUBTOTAL(109,Portfolio[Income])</f>
        <v>0</v>
      </c>
    </row>
  </sheetData>
  <sheetProtection insertRows="0" deleteRows="0" sort="0" autoFilter="0" pivotTables="0"/>
  <mergeCells count="1">
    <mergeCell ref="A1:T1"/>
  </mergeCells>
  <conditionalFormatting sqref="H4">
    <cfRule type="expression" dxfId="24" priority="10">
      <formula>AND($H4 &gt;= $K4, $M4 &lt;&gt; "CLOSED")</formula>
    </cfRule>
    <cfRule type="expression" dxfId="23" priority="13">
      <formula>AND($H4 &lt; $K4, $M4 &lt;&gt; "CLOSED")</formula>
    </cfRule>
  </conditionalFormatting>
  <dataValidations count="2">
    <dataValidation type="list" allowBlank="1" showInputMessage="1" showErrorMessage="1" sqref="A4" xr:uid="{B2E29E7B-36F5-4FC2-A564-F90DD98077B7}">
      <formula1>SymbolList</formula1>
    </dataValidation>
    <dataValidation type="list" allowBlank="1" showInputMessage="1" showErrorMessage="1" sqref="M4" xr:uid="{801FC500-97DA-4B6C-8080-50BAB8B24DB4}">
      <formula1>"OPEN,CLOSED"</formula1>
    </dataValidation>
  </dataValidations>
  <pageMargins left="0.7" right="0.7" top="0.75" bottom="0.75" header="0.3" footer="0.3"/>
  <pageSetup orientation="portrait" horizontalDpi="4294967293" verticalDpi="0"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 id="{380ADF0E-687F-2545-AA22-51239232627D}">
            <xm:f>AND($M4 &lt;&gt; "CLOSED", $K4 &lt;&gt; "", ($K4 - $F4) / $F4 &lt; Dashboard!$B$8)</xm:f>
            <x14:dxf>
              <font>
                <color rgb="FF9C5700"/>
              </font>
              <fill>
                <patternFill>
                  <bgColor rgb="FFFFEB9C"/>
                </patternFill>
              </fill>
            </x14:dxf>
          </x14:cfRule>
          <x14:cfRule type="expression" priority="16" stopIfTrue="1" id="{00000000-000E-0000-0100-000006000000}">
            <xm:f>AND($M4 &lt;&gt; "CLOSED", $K4 &lt;&gt; "", ($K4 - $F4) / $F4 &gt;= Dashboard!$B$8)</xm:f>
            <x14:dxf>
              <font>
                <color rgb="FF006100"/>
              </font>
              <fill>
                <patternFill>
                  <bgColor rgb="FFC6EFCE"/>
                </patternFill>
              </fill>
            </x14:dxf>
          </x14:cfRule>
          <xm:sqref>K4</xm:sqref>
        </x14:conditionalFormatting>
        <x14:conditionalFormatting xmlns:xm="http://schemas.microsoft.com/office/excel/2006/main">
          <x14:cfRule type="expression" priority="9" id="{192F8E25-0631-D640-9081-6ED6735E5AD9}">
            <xm:f>$P4&gt;=Dashboard!$B$8</xm:f>
            <x14:dxf>
              <font>
                <b/>
                <i val="0"/>
                <color theme="9" tint="0.59996337778862885"/>
              </font>
            </x14:dxf>
          </x14:cfRule>
          <xm:sqref>P4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5D741-BED6-4C3C-8500-86ED6F820486}">
  <dimension ref="A1:E2"/>
  <sheetViews>
    <sheetView workbookViewId="0">
      <selection activeCell="D1" sqref="D1"/>
    </sheetView>
  </sheetViews>
  <sheetFormatPr baseColWidth="10" defaultColWidth="8.83203125" defaultRowHeight="16" x14ac:dyDescent="0.2"/>
  <cols>
    <col min="1" max="2" width="8.6640625" bestFit="1" customWidth="1"/>
    <col min="3" max="3" width="12.83203125" style="10" bestFit="1" customWidth="1"/>
    <col min="4" max="4" width="18" style="9" bestFit="1" customWidth="1"/>
    <col min="5" max="5" width="7.6640625" bestFit="1" customWidth="1"/>
    <col min="6" max="6" width="12.1640625" bestFit="1" customWidth="1"/>
    <col min="7" max="7" width="16.6640625" bestFit="1" customWidth="1"/>
    <col min="8" max="8" width="6.6640625" bestFit="1" customWidth="1"/>
  </cols>
  <sheetData>
    <row r="1" spans="1:5" x14ac:dyDescent="0.2">
      <c r="A1" t="s">
        <v>3449</v>
      </c>
      <c r="B1" t="s">
        <v>3450</v>
      </c>
      <c r="C1" s="10" t="s">
        <v>3451</v>
      </c>
      <c r="D1" s="5" t="s">
        <v>3452</v>
      </c>
      <c r="E1" t="s">
        <v>3448</v>
      </c>
    </row>
    <row r="2" spans="1:5" x14ac:dyDescent="0.2">
      <c r="A2" t="s">
        <v>8</v>
      </c>
      <c r="B2" t="s">
        <v>8</v>
      </c>
      <c r="C2" s="10">
        <v>60900</v>
      </c>
      <c r="D2" s="9" t="s">
        <v>3504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112B-BB6E-4747-8F22-F2D0AEF4DEDF}">
  <sheetPr>
    <tabColor rgb="FFC00000"/>
  </sheetPr>
  <dimension ref="A1:C1732"/>
  <sheetViews>
    <sheetView workbookViewId="0">
      <selection activeCell="B22" sqref="B22"/>
    </sheetView>
  </sheetViews>
  <sheetFormatPr baseColWidth="10" defaultColWidth="8.83203125" defaultRowHeight="16" x14ac:dyDescent="0.2"/>
  <cols>
    <col min="1" max="1" width="9.6640625" bestFit="1" customWidth="1"/>
    <col min="2" max="2" width="66.33203125" bestFit="1" customWidth="1"/>
    <col min="3" max="3" width="11.5" bestFit="1" customWidth="1"/>
  </cols>
  <sheetData>
    <row r="1" spans="1:3" x14ac:dyDescent="0.2">
      <c r="A1" t="s">
        <v>1</v>
      </c>
      <c r="B1" t="s">
        <v>11</v>
      </c>
      <c r="C1" t="s">
        <v>3</v>
      </c>
    </row>
    <row r="2" spans="1:3" x14ac:dyDescent="0.2">
      <c r="A2" t="s">
        <v>3444</v>
      </c>
      <c r="B2" t="s">
        <v>3445</v>
      </c>
      <c r="C2" t="s">
        <v>14</v>
      </c>
    </row>
    <row r="3" spans="1:3" x14ac:dyDescent="0.2">
      <c r="A3" t="s">
        <v>3442</v>
      </c>
      <c r="B3" t="s">
        <v>3443</v>
      </c>
      <c r="C3" t="s">
        <v>17</v>
      </c>
    </row>
    <row r="4" spans="1:3" x14ac:dyDescent="0.2">
      <c r="A4" t="s">
        <v>3440</v>
      </c>
      <c r="B4" t="s">
        <v>3441</v>
      </c>
      <c r="C4" t="s">
        <v>14</v>
      </c>
    </row>
    <row r="5" spans="1:3" x14ac:dyDescent="0.2">
      <c r="A5" t="s">
        <v>3438</v>
      </c>
      <c r="B5" t="s">
        <v>3439</v>
      </c>
      <c r="C5" t="s">
        <v>17</v>
      </c>
    </row>
    <row r="6" spans="1:3" x14ac:dyDescent="0.2">
      <c r="A6" t="s">
        <v>3436</v>
      </c>
      <c r="B6" t="s">
        <v>3437</v>
      </c>
      <c r="C6" t="s">
        <v>14</v>
      </c>
    </row>
    <row r="7" spans="1:3" x14ac:dyDescent="0.2">
      <c r="A7" t="s">
        <v>3434</v>
      </c>
      <c r="B7" t="s">
        <v>3435</v>
      </c>
      <c r="C7" t="s">
        <v>17</v>
      </c>
    </row>
    <row r="8" spans="1:3" x14ac:dyDescent="0.2">
      <c r="A8" t="s">
        <v>3432</v>
      </c>
      <c r="B8" t="s">
        <v>3433</v>
      </c>
      <c r="C8" t="s">
        <v>45</v>
      </c>
    </row>
    <row r="9" spans="1:3" x14ac:dyDescent="0.2">
      <c r="A9" t="s">
        <v>3430</v>
      </c>
      <c r="B9" t="s">
        <v>3431</v>
      </c>
      <c r="C9" t="s">
        <v>14</v>
      </c>
    </row>
    <row r="10" spans="1:3" x14ac:dyDescent="0.2">
      <c r="A10" t="s">
        <v>3428</v>
      </c>
      <c r="B10" t="s">
        <v>3429</v>
      </c>
      <c r="C10" t="s">
        <v>14</v>
      </c>
    </row>
    <row r="11" spans="1:3" x14ac:dyDescent="0.2">
      <c r="A11" t="s">
        <v>3426</v>
      </c>
      <c r="B11" t="s">
        <v>3427</v>
      </c>
      <c r="C11" t="s">
        <v>14</v>
      </c>
    </row>
    <row r="12" spans="1:3" x14ac:dyDescent="0.2">
      <c r="A12" t="s">
        <v>3424</v>
      </c>
      <c r="B12" t="s">
        <v>3425</v>
      </c>
      <c r="C12" t="s">
        <v>17</v>
      </c>
    </row>
    <row r="13" spans="1:3" x14ac:dyDescent="0.2">
      <c r="A13" t="s">
        <v>3422</v>
      </c>
      <c r="B13" t="s">
        <v>3423</v>
      </c>
      <c r="C13" t="s">
        <v>17</v>
      </c>
    </row>
    <row r="14" spans="1:3" x14ac:dyDescent="0.2">
      <c r="A14" t="s">
        <v>3420</v>
      </c>
      <c r="B14" t="s">
        <v>3421</v>
      </c>
      <c r="C14" t="s">
        <v>17</v>
      </c>
    </row>
    <row r="15" spans="1:3" x14ac:dyDescent="0.2">
      <c r="A15" t="s">
        <v>3418</v>
      </c>
      <c r="B15" t="s">
        <v>3419</v>
      </c>
      <c r="C15" t="s">
        <v>14</v>
      </c>
    </row>
    <row r="16" spans="1:3" x14ac:dyDescent="0.2">
      <c r="A16" t="s">
        <v>10</v>
      </c>
      <c r="B16" t="s">
        <v>3417</v>
      </c>
      <c r="C16" t="s">
        <v>17</v>
      </c>
    </row>
    <row r="17" spans="1:3" x14ac:dyDescent="0.2">
      <c r="A17" t="s">
        <v>3415</v>
      </c>
      <c r="B17" t="s">
        <v>3416</v>
      </c>
      <c r="C17" t="s">
        <v>17</v>
      </c>
    </row>
    <row r="18" spans="1:3" x14ac:dyDescent="0.2">
      <c r="A18" t="s">
        <v>3413</v>
      </c>
      <c r="B18" t="s">
        <v>3414</v>
      </c>
      <c r="C18" t="s">
        <v>14</v>
      </c>
    </row>
    <row r="19" spans="1:3" x14ac:dyDescent="0.2">
      <c r="A19" t="s">
        <v>3411</v>
      </c>
      <c r="B19" t="s">
        <v>3412</v>
      </c>
      <c r="C19" t="s">
        <v>17</v>
      </c>
    </row>
    <row r="20" spans="1:3" x14ac:dyDescent="0.2">
      <c r="A20" t="s">
        <v>3409</v>
      </c>
      <c r="B20" t="s">
        <v>3410</v>
      </c>
      <c r="C20" t="s">
        <v>17</v>
      </c>
    </row>
    <row r="21" spans="1:3" x14ac:dyDescent="0.2">
      <c r="A21" t="s">
        <v>3407</v>
      </c>
      <c r="B21" t="s">
        <v>3408</v>
      </c>
      <c r="C21" t="s">
        <v>14</v>
      </c>
    </row>
    <row r="22" spans="1:3" x14ac:dyDescent="0.2">
      <c r="A22" t="s">
        <v>3405</v>
      </c>
      <c r="B22" t="s">
        <v>3406</v>
      </c>
      <c r="C22" t="s">
        <v>14</v>
      </c>
    </row>
    <row r="23" spans="1:3" x14ac:dyDescent="0.2">
      <c r="A23" t="s">
        <v>3403</v>
      </c>
      <c r="B23" t="s">
        <v>3404</v>
      </c>
      <c r="C23" t="s">
        <v>14</v>
      </c>
    </row>
    <row r="24" spans="1:3" x14ac:dyDescent="0.2">
      <c r="A24" t="s">
        <v>3401</v>
      </c>
      <c r="B24" t="s">
        <v>3402</v>
      </c>
      <c r="C24" t="s">
        <v>45</v>
      </c>
    </row>
    <row r="25" spans="1:3" x14ac:dyDescent="0.2">
      <c r="A25" t="s">
        <v>3399</v>
      </c>
      <c r="B25" t="s">
        <v>3400</v>
      </c>
      <c r="C25" t="s">
        <v>17</v>
      </c>
    </row>
    <row r="26" spans="1:3" x14ac:dyDescent="0.2">
      <c r="A26" t="s">
        <v>3397</v>
      </c>
      <c r="B26" t="s">
        <v>3398</v>
      </c>
      <c r="C26" t="s">
        <v>17</v>
      </c>
    </row>
    <row r="27" spans="1:3" x14ac:dyDescent="0.2">
      <c r="A27" t="s">
        <v>3395</v>
      </c>
      <c r="B27" t="s">
        <v>3396</v>
      </c>
      <c r="C27" t="s">
        <v>17</v>
      </c>
    </row>
    <row r="28" spans="1:3" x14ac:dyDescent="0.2">
      <c r="A28" t="s">
        <v>3393</v>
      </c>
      <c r="B28" t="s">
        <v>3394</v>
      </c>
      <c r="C28" t="s">
        <v>17</v>
      </c>
    </row>
    <row r="29" spans="1:3" x14ac:dyDescent="0.2">
      <c r="A29" t="s">
        <v>3391</v>
      </c>
      <c r="B29" t="s">
        <v>3392</v>
      </c>
      <c r="C29" t="s">
        <v>14</v>
      </c>
    </row>
    <row r="30" spans="1:3" x14ac:dyDescent="0.2">
      <c r="A30" t="s">
        <v>3389</v>
      </c>
      <c r="B30" t="s">
        <v>3390</v>
      </c>
      <c r="C30" t="s">
        <v>38</v>
      </c>
    </row>
    <row r="31" spans="1:3" x14ac:dyDescent="0.2">
      <c r="A31" t="s">
        <v>3387</v>
      </c>
      <c r="B31" t="s">
        <v>3388</v>
      </c>
      <c r="C31" t="s">
        <v>14</v>
      </c>
    </row>
    <row r="32" spans="1:3" x14ac:dyDescent="0.2">
      <c r="A32" t="s">
        <v>3385</v>
      </c>
      <c r="B32" t="s">
        <v>3386</v>
      </c>
      <c r="C32" t="s">
        <v>17</v>
      </c>
    </row>
    <row r="33" spans="1:3" x14ac:dyDescent="0.2">
      <c r="A33" t="s">
        <v>3383</v>
      </c>
      <c r="B33" t="s">
        <v>3384</v>
      </c>
      <c r="C33" t="s">
        <v>14</v>
      </c>
    </row>
    <row r="34" spans="1:3" x14ac:dyDescent="0.2">
      <c r="A34" t="s">
        <v>3381</v>
      </c>
      <c r="B34" t="s">
        <v>3382</v>
      </c>
      <c r="C34" t="s">
        <v>14</v>
      </c>
    </row>
    <row r="35" spans="1:3" x14ac:dyDescent="0.2">
      <c r="A35" t="s">
        <v>3379</v>
      </c>
      <c r="B35" t="s">
        <v>3380</v>
      </c>
      <c r="C35" t="s">
        <v>17</v>
      </c>
    </row>
    <row r="36" spans="1:3" x14ac:dyDescent="0.2">
      <c r="A36" t="s">
        <v>3377</v>
      </c>
      <c r="B36" t="s">
        <v>3378</v>
      </c>
      <c r="C36" t="s">
        <v>14</v>
      </c>
    </row>
    <row r="37" spans="1:3" x14ac:dyDescent="0.2">
      <c r="A37" t="s">
        <v>3375</v>
      </c>
      <c r="B37" t="s">
        <v>3376</v>
      </c>
      <c r="C37" t="s">
        <v>14</v>
      </c>
    </row>
    <row r="38" spans="1:3" x14ac:dyDescent="0.2">
      <c r="A38" t="s">
        <v>3373</v>
      </c>
      <c r="B38" t="s">
        <v>3374</v>
      </c>
      <c r="C38" t="s">
        <v>14</v>
      </c>
    </row>
    <row r="39" spans="1:3" x14ac:dyDescent="0.2">
      <c r="A39" t="s">
        <v>3371</v>
      </c>
      <c r="B39" t="s">
        <v>3372</v>
      </c>
      <c r="C39" t="s">
        <v>45</v>
      </c>
    </row>
    <row r="40" spans="1:3" x14ac:dyDescent="0.2">
      <c r="A40" t="s">
        <v>3369</v>
      </c>
      <c r="B40" t="s">
        <v>3370</v>
      </c>
      <c r="C40" t="s">
        <v>14</v>
      </c>
    </row>
    <row r="41" spans="1:3" x14ac:dyDescent="0.2">
      <c r="A41" t="s">
        <v>3367</v>
      </c>
      <c r="B41" t="s">
        <v>3368</v>
      </c>
      <c r="C41" t="s">
        <v>45</v>
      </c>
    </row>
    <row r="42" spans="1:3" x14ac:dyDescent="0.2">
      <c r="A42" t="s">
        <v>3365</v>
      </c>
      <c r="B42" t="s">
        <v>3366</v>
      </c>
      <c r="C42" t="s">
        <v>38</v>
      </c>
    </row>
    <row r="43" spans="1:3" x14ac:dyDescent="0.2">
      <c r="A43" t="s">
        <v>3363</v>
      </c>
      <c r="B43" t="s">
        <v>3364</v>
      </c>
      <c r="C43" t="s">
        <v>45</v>
      </c>
    </row>
    <row r="44" spans="1:3" x14ac:dyDescent="0.2">
      <c r="A44" t="s">
        <v>3361</v>
      </c>
      <c r="B44" t="s">
        <v>3362</v>
      </c>
      <c r="C44" t="s">
        <v>14</v>
      </c>
    </row>
    <row r="45" spans="1:3" x14ac:dyDescent="0.2">
      <c r="A45" t="s">
        <v>3359</v>
      </c>
      <c r="B45" t="s">
        <v>3360</v>
      </c>
      <c r="C45" t="s">
        <v>14</v>
      </c>
    </row>
    <row r="46" spans="1:3" x14ac:dyDescent="0.2">
      <c r="A46" t="s">
        <v>3357</v>
      </c>
      <c r="B46" t="s">
        <v>3358</v>
      </c>
      <c r="C46" t="s">
        <v>45</v>
      </c>
    </row>
    <row r="47" spans="1:3" x14ac:dyDescent="0.2">
      <c r="A47" t="s">
        <v>3355</v>
      </c>
      <c r="B47" t="s">
        <v>3356</v>
      </c>
      <c r="C47" t="s">
        <v>14</v>
      </c>
    </row>
    <row r="48" spans="1:3" x14ac:dyDescent="0.2">
      <c r="A48" t="s">
        <v>3354</v>
      </c>
      <c r="B48" t="s">
        <v>1642</v>
      </c>
      <c r="C48" t="s">
        <v>17</v>
      </c>
    </row>
    <row r="49" spans="1:3" x14ac:dyDescent="0.2">
      <c r="A49" t="s">
        <v>3352</v>
      </c>
      <c r="B49" t="s">
        <v>3353</v>
      </c>
      <c r="C49" t="s">
        <v>14</v>
      </c>
    </row>
    <row r="50" spans="1:3" x14ac:dyDescent="0.2">
      <c r="A50" t="s">
        <v>3350</v>
      </c>
      <c r="B50" t="s">
        <v>3351</v>
      </c>
      <c r="C50" t="s">
        <v>14</v>
      </c>
    </row>
    <row r="51" spans="1:3" x14ac:dyDescent="0.2">
      <c r="A51" t="s">
        <v>3348</v>
      </c>
      <c r="B51" t="s">
        <v>3349</v>
      </c>
      <c r="C51" t="s">
        <v>17</v>
      </c>
    </row>
    <row r="52" spans="1:3" x14ac:dyDescent="0.2">
      <c r="A52" t="s">
        <v>3346</v>
      </c>
      <c r="B52" t="s">
        <v>3347</v>
      </c>
      <c r="C52" t="s">
        <v>17</v>
      </c>
    </row>
    <row r="53" spans="1:3" x14ac:dyDescent="0.2">
      <c r="A53" t="s">
        <v>3344</v>
      </c>
      <c r="B53" t="s">
        <v>3345</v>
      </c>
      <c r="C53" t="s">
        <v>45</v>
      </c>
    </row>
    <row r="54" spans="1:3" x14ac:dyDescent="0.2">
      <c r="A54" t="s">
        <v>3342</v>
      </c>
      <c r="B54" t="s">
        <v>3343</v>
      </c>
      <c r="C54" t="s">
        <v>14</v>
      </c>
    </row>
    <row r="55" spans="1:3" x14ac:dyDescent="0.2">
      <c r="A55" t="s">
        <v>3340</v>
      </c>
      <c r="B55" t="s">
        <v>3341</v>
      </c>
      <c r="C55" t="s">
        <v>14</v>
      </c>
    </row>
    <row r="56" spans="1:3" x14ac:dyDescent="0.2">
      <c r="A56" t="s">
        <v>3338</v>
      </c>
      <c r="B56" t="s">
        <v>3339</v>
      </c>
      <c r="C56" t="s">
        <v>45</v>
      </c>
    </row>
    <row r="57" spans="1:3" x14ac:dyDescent="0.2">
      <c r="A57" t="s">
        <v>3336</v>
      </c>
      <c r="B57" t="s">
        <v>3337</v>
      </c>
      <c r="C57" t="s">
        <v>14</v>
      </c>
    </row>
    <row r="58" spans="1:3" x14ac:dyDescent="0.2">
      <c r="A58" t="s">
        <v>3334</v>
      </c>
      <c r="B58" t="s">
        <v>3335</v>
      </c>
      <c r="C58" t="s">
        <v>45</v>
      </c>
    </row>
    <row r="59" spans="1:3" x14ac:dyDescent="0.2">
      <c r="A59" t="s">
        <v>3332</v>
      </c>
      <c r="B59" t="s">
        <v>3333</v>
      </c>
      <c r="C59" t="s">
        <v>14</v>
      </c>
    </row>
    <row r="60" spans="1:3" x14ac:dyDescent="0.2">
      <c r="A60" t="s">
        <v>3330</v>
      </c>
      <c r="B60" t="s">
        <v>3331</v>
      </c>
      <c r="C60" t="s">
        <v>14</v>
      </c>
    </row>
    <row r="61" spans="1:3" x14ac:dyDescent="0.2">
      <c r="A61" t="s">
        <v>3328</v>
      </c>
      <c r="B61" t="s">
        <v>3329</v>
      </c>
      <c r="C61" t="s">
        <v>17</v>
      </c>
    </row>
    <row r="62" spans="1:3" x14ac:dyDescent="0.2">
      <c r="A62" t="s">
        <v>3326</v>
      </c>
      <c r="B62" t="s">
        <v>3327</v>
      </c>
      <c r="C62" t="s">
        <v>17</v>
      </c>
    </row>
    <row r="63" spans="1:3" x14ac:dyDescent="0.2">
      <c r="A63" t="s">
        <v>3324</v>
      </c>
      <c r="B63" t="s">
        <v>3325</v>
      </c>
      <c r="C63" t="s">
        <v>17</v>
      </c>
    </row>
    <row r="64" spans="1:3" x14ac:dyDescent="0.2">
      <c r="A64" t="s">
        <v>3322</v>
      </c>
      <c r="B64" t="s">
        <v>3323</v>
      </c>
      <c r="C64" t="s">
        <v>17</v>
      </c>
    </row>
    <row r="65" spans="1:3" x14ac:dyDescent="0.2">
      <c r="A65" t="s">
        <v>3320</v>
      </c>
      <c r="B65" t="s">
        <v>3321</v>
      </c>
      <c r="C65" t="s">
        <v>14</v>
      </c>
    </row>
    <row r="66" spans="1:3" x14ac:dyDescent="0.2">
      <c r="A66" t="s">
        <v>3318</v>
      </c>
      <c r="B66" t="s">
        <v>3319</v>
      </c>
      <c r="C66" t="s">
        <v>38</v>
      </c>
    </row>
    <row r="67" spans="1:3" x14ac:dyDescent="0.2">
      <c r="A67" t="s">
        <v>3316</v>
      </c>
      <c r="B67" t="s">
        <v>3317</v>
      </c>
      <c r="C67" t="s">
        <v>14</v>
      </c>
    </row>
    <row r="68" spans="1:3" x14ac:dyDescent="0.2">
      <c r="A68" t="s">
        <v>3314</v>
      </c>
      <c r="B68" t="s">
        <v>3315</v>
      </c>
      <c r="C68" t="s">
        <v>45</v>
      </c>
    </row>
    <row r="69" spans="1:3" x14ac:dyDescent="0.2">
      <c r="A69" t="s">
        <v>3312</v>
      </c>
      <c r="B69" t="s">
        <v>3313</v>
      </c>
      <c r="C69" t="s">
        <v>38</v>
      </c>
    </row>
    <row r="70" spans="1:3" x14ac:dyDescent="0.2">
      <c r="A70" t="s">
        <v>3310</v>
      </c>
      <c r="B70" t="s">
        <v>3311</v>
      </c>
      <c r="C70" t="s">
        <v>14</v>
      </c>
    </row>
    <row r="71" spans="1:3" x14ac:dyDescent="0.2">
      <c r="A71" t="s">
        <v>3308</v>
      </c>
      <c r="B71" t="s">
        <v>3309</v>
      </c>
      <c r="C71" t="s">
        <v>14</v>
      </c>
    </row>
    <row r="72" spans="1:3" x14ac:dyDescent="0.2">
      <c r="A72" t="s">
        <v>3306</v>
      </c>
      <c r="B72" t="s">
        <v>3307</v>
      </c>
      <c r="C72" t="s">
        <v>14</v>
      </c>
    </row>
    <row r="73" spans="1:3" x14ac:dyDescent="0.2">
      <c r="A73" t="s">
        <v>3304</v>
      </c>
      <c r="B73" t="s">
        <v>3305</v>
      </c>
      <c r="C73" t="s">
        <v>38</v>
      </c>
    </row>
    <row r="74" spans="1:3" x14ac:dyDescent="0.2">
      <c r="A74" t="s">
        <v>3302</v>
      </c>
      <c r="B74" t="s">
        <v>3303</v>
      </c>
      <c r="C74" t="s">
        <v>45</v>
      </c>
    </row>
    <row r="75" spans="1:3" x14ac:dyDescent="0.2">
      <c r="A75" t="s">
        <v>3300</v>
      </c>
      <c r="B75" t="s">
        <v>3301</v>
      </c>
      <c r="C75" t="s">
        <v>17</v>
      </c>
    </row>
    <row r="76" spans="1:3" x14ac:dyDescent="0.2">
      <c r="A76" t="s">
        <v>3298</v>
      </c>
      <c r="B76" t="s">
        <v>3299</v>
      </c>
      <c r="C76" t="s">
        <v>14</v>
      </c>
    </row>
    <row r="77" spans="1:3" x14ac:dyDescent="0.2">
      <c r="A77" t="s">
        <v>3296</v>
      </c>
      <c r="B77" t="s">
        <v>3297</v>
      </c>
      <c r="C77" t="s">
        <v>45</v>
      </c>
    </row>
    <row r="78" spans="1:3" x14ac:dyDescent="0.2">
      <c r="A78" t="s">
        <v>3294</v>
      </c>
      <c r="B78" t="s">
        <v>3295</v>
      </c>
      <c r="C78" t="s">
        <v>17</v>
      </c>
    </row>
    <row r="79" spans="1:3" x14ac:dyDescent="0.2">
      <c r="A79" t="s">
        <v>3292</v>
      </c>
      <c r="B79" t="s">
        <v>3293</v>
      </c>
      <c r="C79" t="s">
        <v>14</v>
      </c>
    </row>
    <row r="80" spans="1:3" x14ac:dyDescent="0.2">
      <c r="A80" t="s">
        <v>3290</v>
      </c>
      <c r="B80" t="s">
        <v>3291</v>
      </c>
      <c r="C80" t="s">
        <v>14</v>
      </c>
    </row>
    <row r="81" spans="1:3" x14ac:dyDescent="0.2">
      <c r="A81" t="s">
        <v>3288</v>
      </c>
      <c r="B81" t="s">
        <v>3289</v>
      </c>
      <c r="C81" t="s">
        <v>45</v>
      </c>
    </row>
    <row r="82" spans="1:3" x14ac:dyDescent="0.2">
      <c r="A82" t="s">
        <v>3286</v>
      </c>
      <c r="B82" t="s">
        <v>3287</v>
      </c>
      <c r="C82" t="s">
        <v>14</v>
      </c>
    </row>
    <row r="83" spans="1:3" x14ac:dyDescent="0.2">
      <c r="A83" t="s">
        <v>3284</v>
      </c>
      <c r="B83" t="s">
        <v>3285</v>
      </c>
      <c r="C83" t="s">
        <v>14</v>
      </c>
    </row>
    <row r="84" spans="1:3" x14ac:dyDescent="0.2">
      <c r="A84" t="s">
        <v>3282</v>
      </c>
      <c r="B84" t="s">
        <v>3283</v>
      </c>
      <c r="C84" t="s">
        <v>14</v>
      </c>
    </row>
    <row r="85" spans="1:3" x14ac:dyDescent="0.2">
      <c r="A85" t="s">
        <v>3280</v>
      </c>
      <c r="B85" t="s">
        <v>3281</v>
      </c>
      <c r="C85" t="s">
        <v>45</v>
      </c>
    </row>
    <row r="86" spans="1:3" x14ac:dyDescent="0.2">
      <c r="A86" t="s">
        <v>3278</v>
      </c>
      <c r="B86" t="s">
        <v>3279</v>
      </c>
      <c r="C86" t="s">
        <v>17</v>
      </c>
    </row>
    <row r="87" spans="1:3" x14ac:dyDescent="0.2">
      <c r="A87" t="s">
        <v>3276</v>
      </c>
      <c r="B87" t="s">
        <v>3277</v>
      </c>
      <c r="C87" t="s">
        <v>45</v>
      </c>
    </row>
    <row r="88" spans="1:3" x14ac:dyDescent="0.2">
      <c r="A88" t="s">
        <v>3274</v>
      </c>
      <c r="B88" t="s">
        <v>3275</v>
      </c>
      <c r="C88" t="s">
        <v>17</v>
      </c>
    </row>
    <row r="89" spans="1:3" x14ac:dyDescent="0.2">
      <c r="A89" t="s">
        <v>3272</v>
      </c>
      <c r="B89" t="s">
        <v>3273</v>
      </c>
      <c r="C89" t="s">
        <v>17</v>
      </c>
    </row>
    <row r="90" spans="1:3" x14ac:dyDescent="0.2">
      <c r="A90" t="s">
        <v>3270</v>
      </c>
      <c r="B90" t="s">
        <v>3271</v>
      </c>
      <c r="C90" t="s">
        <v>38</v>
      </c>
    </row>
    <row r="91" spans="1:3" x14ac:dyDescent="0.2">
      <c r="A91" t="s">
        <v>3268</v>
      </c>
      <c r="B91" t="s">
        <v>3269</v>
      </c>
      <c r="C91" t="s">
        <v>14</v>
      </c>
    </row>
    <row r="92" spans="1:3" x14ac:dyDescent="0.2">
      <c r="A92" t="s">
        <v>3266</v>
      </c>
      <c r="B92" t="s">
        <v>3267</v>
      </c>
      <c r="C92" t="s">
        <v>14</v>
      </c>
    </row>
    <row r="93" spans="1:3" x14ac:dyDescent="0.2">
      <c r="A93" t="s">
        <v>3264</v>
      </c>
      <c r="B93" t="s">
        <v>3265</v>
      </c>
      <c r="C93" t="s">
        <v>14</v>
      </c>
    </row>
    <row r="94" spans="1:3" x14ac:dyDescent="0.2">
      <c r="A94" t="s">
        <v>3262</v>
      </c>
      <c r="B94" t="s">
        <v>3263</v>
      </c>
      <c r="C94" t="s">
        <v>38</v>
      </c>
    </row>
    <row r="95" spans="1:3" x14ac:dyDescent="0.2">
      <c r="A95" t="s">
        <v>3260</v>
      </c>
      <c r="B95" t="s">
        <v>3261</v>
      </c>
      <c r="C95" t="s">
        <v>14</v>
      </c>
    </row>
    <row r="96" spans="1:3" x14ac:dyDescent="0.2">
      <c r="A96" t="s">
        <v>3258</v>
      </c>
      <c r="B96" t="s">
        <v>3259</v>
      </c>
      <c r="C96" t="s">
        <v>14</v>
      </c>
    </row>
    <row r="97" spans="1:3" x14ac:dyDescent="0.2">
      <c r="A97" t="s">
        <v>3256</v>
      </c>
      <c r="B97" t="s">
        <v>3257</v>
      </c>
      <c r="C97" t="s">
        <v>14</v>
      </c>
    </row>
    <row r="98" spans="1:3" x14ac:dyDescent="0.2">
      <c r="A98" t="s">
        <v>3254</v>
      </c>
      <c r="B98" t="s">
        <v>3255</v>
      </c>
      <c r="C98" t="s">
        <v>45</v>
      </c>
    </row>
    <row r="99" spans="1:3" x14ac:dyDescent="0.2">
      <c r="A99" t="s">
        <v>3252</v>
      </c>
      <c r="B99" t="s">
        <v>3253</v>
      </c>
      <c r="C99" t="s">
        <v>14</v>
      </c>
    </row>
    <row r="100" spans="1:3" x14ac:dyDescent="0.2">
      <c r="A100" t="s">
        <v>3250</v>
      </c>
      <c r="B100" t="s">
        <v>3251</v>
      </c>
      <c r="C100" t="s">
        <v>17</v>
      </c>
    </row>
    <row r="101" spans="1:3" x14ac:dyDescent="0.2">
      <c r="A101" t="s">
        <v>3248</v>
      </c>
      <c r="B101" t="s">
        <v>3249</v>
      </c>
      <c r="C101" t="s">
        <v>14</v>
      </c>
    </row>
    <row r="102" spans="1:3" x14ac:dyDescent="0.2">
      <c r="A102" t="s">
        <v>3246</v>
      </c>
      <c r="B102" t="s">
        <v>3247</v>
      </c>
      <c r="C102" t="s">
        <v>14</v>
      </c>
    </row>
    <row r="103" spans="1:3" x14ac:dyDescent="0.2">
      <c r="A103" t="s">
        <v>3244</v>
      </c>
      <c r="B103" t="s">
        <v>3245</v>
      </c>
      <c r="C103" t="s">
        <v>14</v>
      </c>
    </row>
    <row r="104" spans="1:3" x14ac:dyDescent="0.2">
      <c r="A104" t="s">
        <v>3242</v>
      </c>
      <c r="B104" t="s">
        <v>3243</v>
      </c>
      <c r="C104" t="s">
        <v>14</v>
      </c>
    </row>
    <row r="105" spans="1:3" x14ac:dyDescent="0.2">
      <c r="A105" t="s">
        <v>3240</v>
      </c>
      <c r="B105" t="s">
        <v>3241</v>
      </c>
      <c r="C105" t="s">
        <v>14</v>
      </c>
    </row>
    <row r="106" spans="1:3" x14ac:dyDescent="0.2">
      <c r="A106" t="s">
        <v>3238</v>
      </c>
      <c r="B106" t="s">
        <v>3239</v>
      </c>
      <c r="C106" t="s">
        <v>14</v>
      </c>
    </row>
    <row r="107" spans="1:3" x14ac:dyDescent="0.2">
      <c r="A107" t="s">
        <v>3236</v>
      </c>
      <c r="B107" t="s">
        <v>3237</v>
      </c>
      <c r="C107" t="s">
        <v>14</v>
      </c>
    </row>
    <row r="108" spans="1:3" x14ac:dyDescent="0.2">
      <c r="A108" t="s">
        <v>3234</v>
      </c>
      <c r="B108" t="s">
        <v>3235</v>
      </c>
      <c r="C108" t="s">
        <v>14</v>
      </c>
    </row>
    <row r="109" spans="1:3" x14ac:dyDescent="0.2">
      <c r="A109" t="s">
        <v>3232</v>
      </c>
      <c r="B109" t="s">
        <v>3233</v>
      </c>
      <c r="C109" t="s">
        <v>17</v>
      </c>
    </row>
    <row r="110" spans="1:3" x14ac:dyDescent="0.2">
      <c r="A110" t="s">
        <v>3230</v>
      </c>
      <c r="B110" t="s">
        <v>3231</v>
      </c>
      <c r="C110" t="s">
        <v>14</v>
      </c>
    </row>
    <row r="111" spans="1:3" x14ac:dyDescent="0.2">
      <c r="A111" t="s">
        <v>3228</v>
      </c>
      <c r="B111" t="s">
        <v>3229</v>
      </c>
      <c r="C111" t="s">
        <v>38</v>
      </c>
    </row>
    <row r="112" spans="1:3" x14ac:dyDescent="0.2">
      <c r="A112" t="s">
        <v>3226</v>
      </c>
      <c r="B112" t="s">
        <v>3227</v>
      </c>
      <c r="C112" t="s">
        <v>17</v>
      </c>
    </row>
    <row r="113" spans="1:3" x14ac:dyDescent="0.2">
      <c r="A113" t="s">
        <v>3224</v>
      </c>
      <c r="B113" t="s">
        <v>3225</v>
      </c>
      <c r="C113" t="s">
        <v>17</v>
      </c>
    </row>
    <row r="114" spans="1:3" x14ac:dyDescent="0.2">
      <c r="A114" t="s">
        <v>3222</v>
      </c>
      <c r="B114" t="s">
        <v>3223</v>
      </c>
      <c r="C114" t="s">
        <v>14</v>
      </c>
    </row>
    <row r="115" spans="1:3" x14ac:dyDescent="0.2">
      <c r="A115" t="s">
        <v>3220</v>
      </c>
      <c r="B115" t="s">
        <v>3221</v>
      </c>
      <c r="C115" t="s">
        <v>14</v>
      </c>
    </row>
    <row r="116" spans="1:3" x14ac:dyDescent="0.2">
      <c r="A116" t="s">
        <v>3218</v>
      </c>
      <c r="B116" t="s">
        <v>3219</v>
      </c>
      <c r="C116" t="s">
        <v>14</v>
      </c>
    </row>
    <row r="117" spans="1:3" x14ac:dyDescent="0.2">
      <c r="A117" t="s">
        <v>3216</v>
      </c>
      <c r="B117" t="s">
        <v>3217</v>
      </c>
      <c r="C117" t="s">
        <v>45</v>
      </c>
    </row>
    <row r="118" spans="1:3" x14ac:dyDescent="0.2">
      <c r="A118" t="s">
        <v>3214</v>
      </c>
      <c r="B118" t="s">
        <v>3215</v>
      </c>
      <c r="C118" t="s">
        <v>17</v>
      </c>
    </row>
    <row r="119" spans="1:3" x14ac:dyDescent="0.2">
      <c r="A119" t="s">
        <v>3212</v>
      </c>
      <c r="B119" t="s">
        <v>3213</v>
      </c>
      <c r="C119" t="s">
        <v>38</v>
      </c>
    </row>
    <row r="120" spans="1:3" x14ac:dyDescent="0.2">
      <c r="A120" t="s">
        <v>3210</v>
      </c>
      <c r="B120" t="s">
        <v>3211</v>
      </c>
      <c r="C120" t="s">
        <v>14</v>
      </c>
    </row>
    <row r="121" spans="1:3" x14ac:dyDescent="0.2">
      <c r="A121" t="s">
        <v>3208</v>
      </c>
      <c r="B121" t="s">
        <v>3209</v>
      </c>
      <c r="C121" t="s">
        <v>14</v>
      </c>
    </row>
    <row r="122" spans="1:3" x14ac:dyDescent="0.2">
      <c r="A122" t="s">
        <v>3206</v>
      </c>
      <c r="B122" t="s">
        <v>3207</v>
      </c>
      <c r="C122" t="s">
        <v>14</v>
      </c>
    </row>
    <row r="123" spans="1:3" x14ac:dyDescent="0.2">
      <c r="A123" t="s">
        <v>3204</v>
      </c>
      <c r="B123" t="s">
        <v>3205</v>
      </c>
      <c r="C123" t="s">
        <v>14</v>
      </c>
    </row>
    <row r="124" spans="1:3" x14ac:dyDescent="0.2">
      <c r="A124" t="s">
        <v>3203</v>
      </c>
      <c r="C124" t="s">
        <v>38</v>
      </c>
    </row>
    <row r="125" spans="1:3" x14ac:dyDescent="0.2">
      <c r="A125" t="s">
        <v>3201</v>
      </c>
      <c r="B125" t="s">
        <v>3202</v>
      </c>
      <c r="C125" t="s">
        <v>38</v>
      </c>
    </row>
    <row r="126" spans="1:3" x14ac:dyDescent="0.2">
      <c r="A126" t="s">
        <v>3199</v>
      </c>
      <c r="B126" t="s">
        <v>3200</v>
      </c>
      <c r="C126" t="s">
        <v>17</v>
      </c>
    </row>
    <row r="127" spans="1:3" x14ac:dyDescent="0.2">
      <c r="A127" t="s">
        <v>3197</v>
      </c>
      <c r="B127" t="s">
        <v>3198</v>
      </c>
      <c r="C127" t="s">
        <v>14</v>
      </c>
    </row>
    <row r="128" spans="1:3" x14ac:dyDescent="0.2">
      <c r="A128" t="s">
        <v>3195</v>
      </c>
      <c r="B128" t="s">
        <v>3196</v>
      </c>
      <c r="C128" t="s">
        <v>14</v>
      </c>
    </row>
    <row r="129" spans="1:3" x14ac:dyDescent="0.2">
      <c r="A129" t="s">
        <v>3193</v>
      </c>
      <c r="B129" t="s">
        <v>3194</v>
      </c>
      <c r="C129" t="s">
        <v>14</v>
      </c>
    </row>
    <row r="130" spans="1:3" x14ac:dyDescent="0.2">
      <c r="A130" t="s">
        <v>3191</v>
      </c>
      <c r="B130" t="s">
        <v>3192</v>
      </c>
      <c r="C130" t="s">
        <v>17</v>
      </c>
    </row>
    <row r="131" spans="1:3" x14ac:dyDescent="0.2">
      <c r="A131" t="s">
        <v>3189</v>
      </c>
      <c r="B131" t="s">
        <v>3190</v>
      </c>
      <c r="C131" t="s">
        <v>14</v>
      </c>
    </row>
    <row r="132" spans="1:3" x14ac:dyDescent="0.2">
      <c r="A132" t="s">
        <v>3187</v>
      </c>
      <c r="B132" t="s">
        <v>3188</v>
      </c>
      <c r="C132" t="s">
        <v>14</v>
      </c>
    </row>
    <row r="133" spans="1:3" x14ac:dyDescent="0.2">
      <c r="A133" t="s">
        <v>3185</v>
      </c>
      <c r="B133" t="s">
        <v>3186</v>
      </c>
      <c r="C133" t="s">
        <v>38</v>
      </c>
    </row>
    <row r="134" spans="1:3" x14ac:dyDescent="0.2">
      <c r="A134" t="s">
        <v>3183</v>
      </c>
      <c r="B134" t="s">
        <v>3184</v>
      </c>
      <c r="C134" t="s">
        <v>17</v>
      </c>
    </row>
    <row r="135" spans="1:3" x14ac:dyDescent="0.2">
      <c r="A135" t="s">
        <v>3181</v>
      </c>
      <c r="B135" t="s">
        <v>3182</v>
      </c>
      <c r="C135" t="s">
        <v>14</v>
      </c>
    </row>
    <row r="136" spans="1:3" x14ac:dyDescent="0.2">
      <c r="A136" t="s">
        <v>3179</v>
      </c>
      <c r="B136" t="s">
        <v>3180</v>
      </c>
      <c r="C136" t="s">
        <v>14</v>
      </c>
    </row>
    <row r="137" spans="1:3" x14ac:dyDescent="0.2">
      <c r="A137" t="s">
        <v>3177</v>
      </c>
      <c r="B137" t="s">
        <v>3178</v>
      </c>
      <c r="C137" t="s">
        <v>45</v>
      </c>
    </row>
    <row r="138" spans="1:3" x14ac:dyDescent="0.2">
      <c r="A138" t="s">
        <v>3175</v>
      </c>
      <c r="B138" t="s">
        <v>3176</v>
      </c>
      <c r="C138" t="s">
        <v>14</v>
      </c>
    </row>
    <row r="139" spans="1:3" x14ac:dyDescent="0.2">
      <c r="A139" t="s">
        <v>3173</v>
      </c>
      <c r="B139" t="s">
        <v>3174</v>
      </c>
      <c r="C139" t="s">
        <v>14</v>
      </c>
    </row>
    <row r="140" spans="1:3" x14ac:dyDescent="0.2">
      <c r="A140" t="s">
        <v>3171</v>
      </c>
      <c r="B140" t="s">
        <v>3172</v>
      </c>
      <c r="C140" t="s">
        <v>45</v>
      </c>
    </row>
    <row r="141" spans="1:3" x14ac:dyDescent="0.2">
      <c r="A141" t="s">
        <v>3170</v>
      </c>
      <c r="C141" t="s">
        <v>38</v>
      </c>
    </row>
    <row r="142" spans="1:3" x14ac:dyDescent="0.2">
      <c r="A142" t="s">
        <v>3168</v>
      </c>
      <c r="B142" t="s">
        <v>3169</v>
      </c>
      <c r="C142" t="s">
        <v>14</v>
      </c>
    </row>
    <row r="143" spans="1:3" x14ac:dyDescent="0.2">
      <c r="A143" t="s">
        <v>3166</v>
      </c>
      <c r="B143" t="s">
        <v>3167</v>
      </c>
      <c r="C143" t="s">
        <v>14</v>
      </c>
    </row>
    <row r="144" spans="1:3" x14ac:dyDescent="0.2">
      <c r="A144" t="s">
        <v>3164</v>
      </c>
      <c r="B144" t="s">
        <v>3165</v>
      </c>
      <c r="C144" t="s">
        <v>17</v>
      </c>
    </row>
    <row r="145" spans="1:3" x14ac:dyDescent="0.2">
      <c r="A145" t="s">
        <v>3162</v>
      </c>
      <c r="B145" t="s">
        <v>3163</v>
      </c>
      <c r="C145" t="s">
        <v>14</v>
      </c>
    </row>
    <row r="146" spans="1:3" x14ac:dyDescent="0.2">
      <c r="A146" t="s">
        <v>3160</v>
      </c>
      <c r="B146" t="s">
        <v>3161</v>
      </c>
      <c r="C146" t="s">
        <v>14</v>
      </c>
    </row>
    <row r="147" spans="1:3" x14ac:dyDescent="0.2">
      <c r="A147" t="s">
        <v>3158</v>
      </c>
      <c r="B147" t="s">
        <v>3159</v>
      </c>
      <c r="C147" t="s">
        <v>14</v>
      </c>
    </row>
    <row r="148" spans="1:3" x14ac:dyDescent="0.2">
      <c r="A148" t="s">
        <v>3156</v>
      </c>
      <c r="B148" t="s">
        <v>3157</v>
      </c>
      <c r="C148" t="s">
        <v>38</v>
      </c>
    </row>
    <row r="149" spans="1:3" x14ac:dyDescent="0.2">
      <c r="A149" t="s">
        <v>3154</v>
      </c>
      <c r="B149" t="s">
        <v>3155</v>
      </c>
      <c r="C149" t="s">
        <v>14</v>
      </c>
    </row>
    <row r="150" spans="1:3" x14ac:dyDescent="0.2">
      <c r="A150" t="s">
        <v>3152</v>
      </c>
      <c r="B150" t="s">
        <v>3153</v>
      </c>
      <c r="C150" t="s">
        <v>14</v>
      </c>
    </row>
    <row r="151" spans="1:3" x14ac:dyDescent="0.2">
      <c r="A151" t="s">
        <v>3150</v>
      </c>
      <c r="B151" t="s">
        <v>3151</v>
      </c>
      <c r="C151" t="s">
        <v>14</v>
      </c>
    </row>
    <row r="152" spans="1:3" x14ac:dyDescent="0.2">
      <c r="A152" t="s">
        <v>3148</v>
      </c>
      <c r="B152" t="s">
        <v>3149</v>
      </c>
      <c r="C152" t="s">
        <v>17</v>
      </c>
    </row>
    <row r="153" spans="1:3" x14ac:dyDescent="0.2">
      <c r="A153" t="s">
        <v>3146</v>
      </c>
      <c r="B153" t="s">
        <v>3147</v>
      </c>
      <c r="C153" t="s">
        <v>14</v>
      </c>
    </row>
    <row r="154" spans="1:3" x14ac:dyDescent="0.2">
      <c r="A154" t="s">
        <v>3144</v>
      </c>
      <c r="B154" t="s">
        <v>3145</v>
      </c>
      <c r="C154" t="s">
        <v>14</v>
      </c>
    </row>
    <row r="155" spans="1:3" x14ac:dyDescent="0.2">
      <c r="A155" t="s">
        <v>3142</v>
      </c>
      <c r="B155" t="s">
        <v>3143</v>
      </c>
      <c r="C155" t="s">
        <v>14</v>
      </c>
    </row>
    <row r="156" spans="1:3" x14ac:dyDescent="0.2">
      <c r="A156" t="s">
        <v>3140</v>
      </c>
      <c r="B156" t="s">
        <v>3141</v>
      </c>
      <c r="C156" t="s">
        <v>17</v>
      </c>
    </row>
    <row r="157" spans="1:3" x14ac:dyDescent="0.2">
      <c r="A157" t="s">
        <v>3138</v>
      </c>
      <c r="B157" t="s">
        <v>3139</v>
      </c>
      <c r="C157" t="s">
        <v>38</v>
      </c>
    </row>
    <row r="158" spans="1:3" x14ac:dyDescent="0.2">
      <c r="A158" t="s">
        <v>3136</v>
      </c>
      <c r="B158" t="s">
        <v>3137</v>
      </c>
      <c r="C158" t="s">
        <v>14</v>
      </c>
    </row>
    <row r="159" spans="1:3" x14ac:dyDescent="0.2">
      <c r="A159" t="s">
        <v>3134</v>
      </c>
      <c r="B159" t="s">
        <v>3135</v>
      </c>
      <c r="C159" t="s">
        <v>14</v>
      </c>
    </row>
    <row r="160" spans="1:3" x14ac:dyDescent="0.2">
      <c r="A160" t="s">
        <v>3132</v>
      </c>
      <c r="B160" t="s">
        <v>3133</v>
      </c>
      <c r="C160" t="s">
        <v>14</v>
      </c>
    </row>
    <row r="161" spans="1:3" x14ac:dyDescent="0.2">
      <c r="A161" t="s">
        <v>3130</v>
      </c>
      <c r="B161" t="s">
        <v>3131</v>
      </c>
      <c r="C161" t="s">
        <v>14</v>
      </c>
    </row>
    <row r="162" spans="1:3" x14ac:dyDescent="0.2">
      <c r="A162" t="s">
        <v>3128</v>
      </c>
      <c r="B162" t="s">
        <v>3129</v>
      </c>
      <c r="C162" t="s">
        <v>14</v>
      </c>
    </row>
    <row r="163" spans="1:3" x14ac:dyDescent="0.2">
      <c r="A163" t="s">
        <v>3126</v>
      </c>
      <c r="B163" t="s">
        <v>3127</v>
      </c>
      <c r="C163" t="s">
        <v>14</v>
      </c>
    </row>
    <row r="164" spans="1:3" x14ac:dyDescent="0.2">
      <c r="A164" t="s">
        <v>3124</v>
      </c>
      <c r="B164" t="s">
        <v>3125</v>
      </c>
      <c r="C164" t="s">
        <v>14</v>
      </c>
    </row>
    <row r="165" spans="1:3" x14ac:dyDescent="0.2">
      <c r="A165" t="s">
        <v>3122</v>
      </c>
      <c r="B165" t="s">
        <v>3123</v>
      </c>
      <c r="C165" t="s">
        <v>17</v>
      </c>
    </row>
    <row r="166" spans="1:3" x14ac:dyDescent="0.2">
      <c r="A166" t="s">
        <v>3120</v>
      </c>
      <c r="B166" t="s">
        <v>3121</v>
      </c>
      <c r="C166" t="s">
        <v>45</v>
      </c>
    </row>
    <row r="167" spans="1:3" x14ac:dyDescent="0.2">
      <c r="A167" t="s">
        <v>3118</v>
      </c>
      <c r="B167" t="s">
        <v>3119</v>
      </c>
      <c r="C167" t="s">
        <v>17</v>
      </c>
    </row>
    <row r="168" spans="1:3" x14ac:dyDescent="0.2">
      <c r="A168" t="s">
        <v>3116</v>
      </c>
      <c r="B168" t="s">
        <v>3117</v>
      </c>
      <c r="C168" t="s">
        <v>14</v>
      </c>
    </row>
    <row r="169" spans="1:3" x14ac:dyDescent="0.2">
      <c r="A169" t="s">
        <v>3114</v>
      </c>
      <c r="B169" t="s">
        <v>3115</v>
      </c>
      <c r="C169" t="s">
        <v>14</v>
      </c>
    </row>
    <row r="170" spans="1:3" x14ac:dyDescent="0.2">
      <c r="A170" t="s">
        <v>3112</v>
      </c>
      <c r="B170" t="s">
        <v>3113</v>
      </c>
      <c r="C170" t="s">
        <v>45</v>
      </c>
    </row>
    <row r="171" spans="1:3" x14ac:dyDescent="0.2">
      <c r="A171" t="s">
        <v>3111</v>
      </c>
      <c r="C171" t="s">
        <v>38</v>
      </c>
    </row>
    <row r="172" spans="1:3" x14ac:dyDescent="0.2">
      <c r="A172" t="s">
        <v>3109</v>
      </c>
      <c r="B172" t="s">
        <v>3110</v>
      </c>
      <c r="C172" t="s">
        <v>14</v>
      </c>
    </row>
    <row r="173" spans="1:3" x14ac:dyDescent="0.2">
      <c r="A173" t="s">
        <v>3107</v>
      </c>
      <c r="B173" t="s">
        <v>3108</v>
      </c>
      <c r="C173" t="s">
        <v>14</v>
      </c>
    </row>
    <row r="174" spans="1:3" x14ac:dyDescent="0.2">
      <c r="A174" t="s">
        <v>3105</v>
      </c>
      <c r="B174" t="s">
        <v>3106</v>
      </c>
      <c r="C174" t="s">
        <v>17</v>
      </c>
    </row>
    <row r="175" spans="1:3" x14ac:dyDescent="0.2">
      <c r="A175" t="s">
        <v>3103</v>
      </c>
      <c r="B175" t="s">
        <v>3104</v>
      </c>
      <c r="C175" t="s">
        <v>14</v>
      </c>
    </row>
    <row r="176" spans="1:3" x14ac:dyDescent="0.2">
      <c r="A176" t="s">
        <v>3101</v>
      </c>
      <c r="B176" t="s">
        <v>3102</v>
      </c>
      <c r="C176" t="s">
        <v>14</v>
      </c>
    </row>
    <row r="177" spans="1:3" x14ac:dyDescent="0.2">
      <c r="A177" t="s">
        <v>3099</v>
      </c>
      <c r="B177" t="s">
        <v>3100</v>
      </c>
      <c r="C177" t="s">
        <v>45</v>
      </c>
    </row>
    <row r="178" spans="1:3" x14ac:dyDescent="0.2">
      <c r="A178" t="s">
        <v>3097</v>
      </c>
      <c r="B178" t="s">
        <v>3098</v>
      </c>
      <c r="C178" t="s">
        <v>14</v>
      </c>
    </row>
    <row r="179" spans="1:3" x14ac:dyDescent="0.2">
      <c r="A179" t="s">
        <v>3095</v>
      </c>
      <c r="B179" t="s">
        <v>3096</v>
      </c>
      <c r="C179" t="s">
        <v>17</v>
      </c>
    </row>
    <row r="180" spans="1:3" x14ac:dyDescent="0.2">
      <c r="A180" t="s">
        <v>3093</v>
      </c>
      <c r="B180" t="s">
        <v>3094</v>
      </c>
      <c r="C180" t="s">
        <v>14</v>
      </c>
    </row>
    <row r="181" spans="1:3" x14ac:dyDescent="0.2">
      <c r="A181" t="s">
        <v>3091</v>
      </c>
      <c r="B181" t="s">
        <v>3092</v>
      </c>
      <c r="C181" t="s">
        <v>45</v>
      </c>
    </row>
    <row r="182" spans="1:3" x14ac:dyDescent="0.2">
      <c r="A182" t="s">
        <v>3090</v>
      </c>
      <c r="C182" t="s">
        <v>38</v>
      </c>
    </row>
    <row r="183" spans="1:3" x14ac:dyDescent="0.2">
      <c r="A183" t="s">
        <v>3088</v>
      </c>
      <c r="B183" t="s">
        <v>3089</v>
      </c>
      <c r="C183" t="s">
        <v>14</v>
      </c>
    </row>
    <row r="184" spans="1:3" x14ac:dyDescent="0.2">
      <c r="A184" t="s">
        <v>3086</v>
      </c>
      <c r="B184" t="s">
        <v>3087</v>
      </c>
      <c r="C184" t="s">
        <v>14</v>
      </c>
    </row>
    <row r="185" spans="1:3" x14ac:dyDescent="0.2">
      <c r="A185" t="s">
        <v>3084</v>
      </c>
      <c r="B185" t="s">
        <v>3085</v>
      </c>
      <c r="C185" t="s">
        <v>14</v>
      </c>
    </row>
    <row r="186" spans="1:3" x14ac:dyDescent="0.2">
      <c r="A186" t="s">
        <v>3082</v>
      </c>
      <c r="B186" t="s">
        <v>3083</v>
      </c>
      <c r="C186" t="s">
        <v>17</v>
      </c>
    </row>
    <row r="187" spans="1:3" x14ac:dyDescent="0.2">
      <c r="A187" t="s">
        <v>3080</v>
      </c>
      <c r="B187" t="s">
        <v>3081</v>
      </c>
      <c r="C187" t="s">
        <v>17</v>
      </c>
    </row>
    <row r="188" spans="1:3" x14ac:dyDescent="0.2">
      <c r="A188" t="s">
        <v>3078</v>
      </c>
      <c r="B188" t="s">
        <v>3079</v>
      </c>
      <c r="C188" t="s">
        <v>14</v>
      </c>
    </row>
    <row r="189" spans="1:3" x14ac:dyDescent="0.2">
      <c r="A189" t="s">
        <v>3076</v>
      </c>
      <c r="B189" t="s">
        <v>3077</v>
      </c>
      <c r="C189" t="s">
        <v>45</v>
      </c>
    </row>
    <row r="190" spans="1:3" x14ac:dyDescent="0.2">
      <c r="A190" t="s">
        <v>3074</v>
      </c>
      <c r="B190" t="s">
        <v>3075</v>
      </c>
      <c r="C190" t="s">
        <v>14</v>
      </c>
    </row>
    <row r="191" spans="1:3" x14ac:dyDescent="0.2">
      <c r="A191" t="s">
        <v>3072</v>
      </c>
      <c r="B191" t="s">
        <v>3073</v>
      </c>
      <c r="C191" t="s">
        <v>38</v>
      </c>
    </row>
    <row r="192" spans="1:3" x14ac:dyDescent="0.2">
      <c r="A192" t="s">
        <v>3070</v>
      </c>
      <c r="B192" t="s">
        <v>3071</v>
      </c>
      <c r="C192" t="s">
        <v>14</v>
      </c>
    </row>
    <row r="193" spans="1:3" x14ac:dyDescent="0.2">
      <c r="A193" t="s">
        <v>3068</v>
      </c>
      <c r="B193" t="s">
        <v>3069</v>
      </c>
      <c r="C193" t="s">
        <v>45</v>
      </c>
    </row>
    <row r="194" spans="1:3" x14ac:dyDescent="0.2">
      <c r="A194" t="s">
        <v>3066</v>
      </c>
      <c r="B194" t="s">
        <v>3067</v>
      </c>
      <c r="C194" t="s">
        <v>45</v>
      </c>
    </row>
    <row r="195" spans="1:3" x14ac:dyDescent="0.2">
      <c r="A195" t="s">
        <v>3064</v>
      </c>
      <c r="B195" t="s">
        <v>3065</v>
      </c>
      <c r="C195" t="s">
        <v>45</v>
      </c>
    </row>
    <row r="196" spans="1:3" x14ac:dyDescent="0.2">
      <c r="A196" t="s">
        <v>3062</v>
      </c>
      <c r="B196" t="s">
        <v>3063</v>
      </c>
      <c r="C196" t="s">
        <v>45</v>
      </c>
    </row>
    <row r="197" spans="1:3" x14ac:dyDescent="0.2">
      <c r="A197" t="s">
        <v>3060</v>
      </c>
      <c r="B197" t="s">
        <v>3061</v>
      </c>
      <c r="C197" t="s">
        <v>14</v>
      </c>
    </row>
    <row r="198" spans="1:3" x14ac:dyDescent="0.2">
      <c r="A198" t="s">
        <v>3058</v>
      </c>
      <c r="B198" t="s">
        <v>3059</v>
      </c>
      <c r="C198" t="s">
        <v>38</v>
      </c>
    </row>
    <row r="199" spans="1:3" x14ac:dyDescent="0.2">
      <c r="A199" t="s">
        <v>3056</v>
      </c>
      <c r="B199" t="s">
        <v>3057</v>
      </c>
      <c r="C199" t="s">
        <v>14</v>
      </c>
    </row>
    <row r="200" spans="1:3" x14ac:dyDescent="0.2">
      <c r="A200" t="s">
        <v>3054</v>
      </c>
      <c r="B200" t="s">
        <v>3055</v>
      </c>
      <c r="C200" t="s">
        <v>14</v>
      </c>
    </row>
    <row r="201" spans="1:3" x14ac:dyDescent="0.2">
      <c r="A201" t="s">
        <v>3052</v>
      </c>
      <c r="B201" t="s">
        <v>3053</v>
      </c>
      <c r="C201" t="s">
        <v>14</v>
      </c>
    </row>
    <row r="202" spans="1:3" x14ac:dyDescent="0.2">
      <c r="A202" t="s">
        <v>3050</v>
      </c>
      <c r="B202" t="s">
        <v>3051</v>
      </c>
      <c r="C202" t="s">
        <v>38</v>
      </c>
    </row>
    <row r="203" spans="1:3" x14ac:dyDescent="0.2">
      <c r="A203" t="s">
        <v>3048</v>
      </c>
      <c r="B203" t="s">
        <v>3049</v>
      </c>
      <c r="C203" t="s">
        <v>14</v>
      </c>
    </row>
    <row r="204" spans="1:3" x14ac:dyDescent="0.2">
      <c r="A204" t="s">
        <v>3046</v>
      </c>
      <c r="B204" t="s">
        <v>3047</v>
      </c>
      <c r="C204" t="s">
        <v>17</v>
      </c>
    </row>
    <row r="205" spans="1:3" x14ac:dyDescent="0.2">
      <c r="A205" t="s">
        <v>3044</v>
      </c>
      <c r="B205" t="s">
        <v>3045</v>
      </c>
      <c r="C205" t="s">
        <v>17</v>
      </c>
    </row>
    <row r="206" spans="1:3" x14ac:dyDescent="0.2">
      <c r="A206" t="s">
        <v>3042</v>
      </c>
      <c r="B206" t="s">
        <v>3043</v>
      </c>
      <c r="C206" t="s">
        <v>17</v>
      </c>
    </row>
    <row r="207" spans="1:3" x14ac:dyDescent="0.2">
      <c r="A207" t="s">
        <v>3040</v>
      </c>
      <c r="B207" t="s">
        <v>3041</v>
      </c>
      <c r="C207" t="s">
        <v>14</v>
      </c>
    </row>
    <row r="208" spans="1:3" x14ac:dyDescent="0.2">
      <c r="A208" t="s">
        <v>3038</v>
      </c>
      <c r="B208" t="s">
        <v>3039</v>
      </c>
      <c r="C208" t="s">
        <v>14</v>
      </c>
    </row>
    <row r="209" spans="1:3" x14ac:dyDescent="0.2">
      <c r="A209" t="s">
        <v>3036</v>
      </c>
      <c r="B209" t="s">
        <v>3037</v>
      </c>
      <c r="C209" t="s">
        <v>45</v>
      </c>
    </row>
    <row r="210" spans="1:3" x14ac:dyDescent="0.2">
      <c r="A210" t="s">
        <v>3034</v>
      </c>
      <c r="B210" t="s">
        <v>3035</v>
      </c>
      <c r="C210" t="s">
        <v>14</v>
      </c>
    </row>
    <row r="211" spans="1:3" x14ac:dyDescent="0.2">
      <c r="A211" t="s">
        <v>3032</v>
      </c>
      <c r="B211" t="s">
        <v>3033</v>
      </c>
      <c r="C211" t="s">
        <v>14</v>
      </c>
    </row>
    <row r="212" spans="1:3" x14ac:dyDescent="0.2">
      <c r="A212" t="s">
        <v>3030</v>
      </c>
      <c r="B212" t="s">
        <v>3031</v>
      </c>
      <c r="C212" t="s">
        <v>17</v>
      </c>
    </row>
    <row r="213" spans="1:3" x14ac:dyDescent="0.2">
      <c r="A213" t="s">
        <v>3028</v>
      </c>
      <c r="B213" t="s">
        <v>3029</v>
      </c>
      <c r="C213" t="s">
        <v>14</v>
      </c>
    </row>
    <row r="214" spans="1:3" x14ac:dyDescent="0.2">
      <c r="A214" t="s">
        <v>3026</v>
      </c>
      <c r="B214" t="s">
        <v>3027</v>
      </c>
      <c r="C214" t="s">
        <v>38</v>
      </c>
    </row>
    <row r="215" spans="1:3" x14ac:dyDescent="0.2">
      <c r="A215" t="s">
        <v>3024</v>
      </c>
      <c r="B215" t="s">
        <v>3025</v>
      </c>
      <c r="C215" t="s">
        <v>45</v>
      </c>
    </row>
    <row r="216" spans="1:3" x14ac:dyDescent="0.2">
      <c r="A216" t="s">
        <v>3022</v>
      </c>
      <c r="B216" t="s">
        <v>3023</v>
      </c>
      <c r="C216" t="s">
        <v>14</v>
      </c>
    </row>
    <row r="217" spans="1:3" x14ac:dyDescent="0.2">
      <c r="A217" t="s">
        <v>3020</v>
      </c>
      <c r="B217" t="s">
        <v>3021</v>
      </c>
      <c r="C217" t="s">
        <v>14</v>
      </c>
    </row>
    <row r="218" spans="1:3" x14ac:dyDescent="0.2">
      <c r="A218" t="s">
        <v>3018</v>
      </c>
      <c r="B218" t="s">
        <v>3019</v>
      </c>
      <c r="C218" t="s">
        <v>14</v>
      </c>
    </row>
    <row r="219" spans="1:3" x14ac:dyDescent="0.2">
      <c r="A219" t="s">
        <v>3016</v>
      </c>
      <c r="B219" t="s">
        <v>3017</v>
      </c>
      <c r="C219" t="s">
        <v>38</v>
      </c>
    </row>
    <row r="220" spans="1:3" x14ac:dyDescent="0.2">
      <c r="A220" t="s">
        <v>3014</v>
      </c>
      <c r="B220" t="s">
        <v>3015</v>
      </c>
      <c r="C220" t="s">
        <v>38</v>
      </c>
    </row>
    <row r="221" spans="1:3" x14ac:dyDescent="0.2">
      <c r="A221" t="s">
        <v>3012</v>
      </c>
      <c r="B221" t="s">
        <v>3013</v>
      </c>
      <c r="C221" t="s">
        <v>38</v>
      </c>
    </row>
    <row r="222" spans="1:3" x14ac:dyDescent="0.2">
      <c r="A222" t="s">
        <v>3010</v>
      </c>
      <c r="B222" t="s">
        <v>3011</v>
      </c>
      <c r="C222" t="s">
        <v>14</v>
      </c>
    </row>
    <row r="223" spans="1:3" x14ac:dyDescent="0.2">
      <c r="A223" t="s">
        <v>3008</v>
      </c>
      <c r="B223" t="s">
        <v>3009</v>
      </c>
      <c r="C223" t="s">
        <v>45</v>
      </c>
    </row>
    <row r="224" spans="1:3" x14ac:dyDescent="0.2">
      <c r="A224" t="s">
        <v>3006</v>
      </c>
      <c r="B224" t="s">
        <v>3007</v>
      </c>
      <c r="C224" t="s">
        <v>45</v>
      </c>
    </row>
    <row r="225" spans="1:3" x14ac:dyDescent="0.2">
      <c r="A225" t="s">
        <v>3004</v>
      </c>
      <c r="B225" t="s">
        <v>3005</v>
      </c>
      <c r="C225" t="s">
        <v>14</v>
      </c>
    </row>
    <row r="226" spans="1:3" x14ac:dyDescent="0.2">
      <c r="A226" t="s">
        <v>3002</v>
      </c>
      <c r="B226" t="s">
        <v>3003</v>
      </c>
      <c r="C226" t="s">
        <v>14</v>
      </c>
    </row>
    <row r="227" spans="1:3" x14ac:dyDescent="0.2">
      <c r="A227" t="s">
        <v>3000</v>
      </c>
      <c r="B227" t="s">
        <v>3001</v>
      </c>
      <c r="C227" t="s">
        <v>38</v>
      </c>
    </row>
    <row r="228" spans="1:3" x14ac:dyDescent="0.2">
      <c r="A228" t="s">
        <v>2998</v>
      </c>
      <c r="B228" t="s">
        <v>2999</v>
      </c>
      <c r="C228" t="s">
        <v>14</v>
      </c>
    </row>
    <row r="229" spans="1:3" x14ac:dyDescent="0.2">
      <c r="A229" t="s">
        <v>2996</v>
      </c>
      <c r="B229" t="s">
        <v>2997</v>
      </c>
      <c r="C229" t="s">
        <v>14</v>
      </c>
    </row>
    <row r="230" spans="1:3" x14ac:dyDescent="0.2">
      <c r="A230" t="s">
        <v>2994</v>
      </c>
      <c r="B230" t="s">
        <v>2995</v>
      </c>
      <c r="C230" t="s">
        <v>14</v>
      </c>
    </row>
    <row r="231" spans="1:3" x14ac:dyDescent="0.2">
      <c r="A231" t="s">
        <v>2992</v>
      </c>
      <c r="B231" t="s">
        <v>2993</v>
      </c>
      <c r="C231" t="s">
        <v>17</v>
      </c>
    </row>
    <row r="232" spans="1:3" x14ac:dyDescent="0.2">
      <c r="A232" t="s">
        <v>2990</v>
      </c>
      <c r="B232" t="s">
        <v>2991</v>
      </c>
      <c r="C232" t="s">
        <v>14</v>
      </c>
    </row>
    <row r="233" spans="1:3" x14ac:dyDescent="0.2">
      <c r="A233" t="s">
        <v>2988</v>
      </c>
      <c r="B233" t="s">
        <v>2989</v>
      </c>
      <c r="C233" t="s">
        <v>14</v>
      </c>
    </row>
    <row r="234" spans="1:3" x14ac:dyDescent="0.2">
      <c r="A234" t="s">
        <v>2986</v>
      </c>
      <c r="B234" t="s">
        <v>2987</v>
      </c>
      <c r="C234" t="s">
        <v>45</v>
      </c>
    </row>
    <row r="235" spans="1:3" x14ac:dyDescent="0.2">
      <c r="A235" t="s">
        <v>2984</v>
      </c>
      <c r="B235" t="s">
        <v>2985</v>
      </c>
      <c r="C235" t="s">
        <v>14</v>
      </c>
    </row>
    <row r="236" spans="1:3" x14ac:dyDescent="0.2">
      <c r="A236" t="s">
        <v>2982</v>
      </c>
      <c r="B236" t="s">
        <v>2983</v>
      </c>
      <c r="C236" t="s">
        <v>17</v>
      </c>
    </row>
    <row r="237" spans="1:3" x14ac:dyDescent="0.2">
      <c r="A237" t="s">
        <v>2980</v>
      </c>
      <c r="B237" t="s">
        <v>2981</v>
      </c>
      <c r="C237" t="s">
        <v>17</v>
      </c>
    </row>
    <row r="238" spans="1:3" x14ac:dyDescent="0.2">
      <c r="A238" t="s">
        <v>2978</v>
      </c>
      <c r="B238" t="s">
        <v>2979</v>
      </c>
      <c r="C238" t="s">
        <v>14</v>
      </c>
    </row>
    <row r="239" spans="1:3" x14ac:dyDescent="0.2">
      <c r="A239" t="s">
        <v>2976</v>
      </c>
      <c r="B239" t="s">
        <v>2977</v>
      </c>
      <c r="C239" t="s">
        <v>45</v>
      </c>
    </row>
    <row r="240" spans="1:3" x14ac:dyDescent="0.2">
      <c r="A240" t="s">
        <v>2974</v>
      </c>
      <c r="B240" t="s">
        <v>2975</v>
      </c>
      <c r="C240" t="s">
        <v>14</v>
      </c>
    </row>
    <row r="241" spans="1:3" x14ac:dyDescent="0.2">
      <c r="A241" t="s">
        <v>2972</v>
      </c>
      <c r="B241" t="s">
        <v>2973</v>
      </c>
      <c r="C241" t="s">
        <v>14</v>
      </c>
    </row>
    <row r="242" spans="1:3" x14ac:dyDescent="0.2">
      <c r="A242" t="s">
        <v>2970</v>
      </c>
      <c r="B242" t="s">
        <v>2971</v>
      </c>
      <c r="C242" t="s">
        <v>14</v>
      </c>
    </row>
    <row r="243" spans="1:3" x14ac:dyDescent="0.2">
      <c r="A243" t="s">
        <v>2968</v>
      </c>
      <c r="B243" t="s">
        <v>2969</v>
      </c>
      <c r="C243" t="s">
        <v>17</v>
      </c>
    </row>
    <row r="244" spans="1:3" x14ac:dyDescent="0.2">
      <c r="A244" t="s">
        <v>2966</v>
      </c>
      <c r="B244" t="s">
        <v>2967</v>
      </c>
      <c r="C244" t="s">
        <v>45</v>
      </c>
    </row>
    <row r="245" spans="1:3" x14ac:dyDescent="0.2">
      <c r="A245" t="s">
        <v>2964</v>
      </c>
      <c r="B245" t="s">
        <v>2965</v>
      </c>
      <c r="C245" t="s">
        <v>17</v>
      </c>
    </row>
    <row r="246" spans="1:3" x14ac:dyDescent="0.2">
      <c r="A246" t="s">
        <v>2962</v>
      </c>
      <c r="B246" t="s">
        <v>2963</v>
      </c>
      <c r="C246" t="s">
        <v>14</v>
      </c>
    </row>
    <row r="247" spans="1:3" x14ac:dyDescent="0.2">
      <c r="A247" t="s">
        <v>2960</v>
      </c>
      <c r="B247" t="s">
        <v>2961</v>
      </c>
      <c r="C247" t="s">
        <v>45</v>
      </c>
    </row>
    <row r="248" spans="1:3" x14ac:dyDescent="0.2">
      <c r="A248" t="s">
        <v>2958</v>
      </c>
      <c r="B248" t="s">
        <v>2959</v>
      </c>
      <c r="C248" t="s">
        <v>17</v>
      </c>
    </row>
    <row r="249" spans="1:3" x14ac:dyDescent="0.2">
      <c r="A249" t="s">
        <v>2956</v>
      </c>
      <c r="B249" t="s">
        <v>2957</v>
      </c>
      <c r="C249" t="s">
        <v>45</v>
      </c>
    </row>
    <row r="250" spans="1:3" x14ac:dyDescent="0.2">
      <c r="A250" t="s">
        <v>2954</v>
      </c>
      <c r="B250" t="s">
        <v>2955</v>
      </c>
      <c r="C250" t="s">
        <v>17</v>
      </c>
    </row>
    <row r="251" spans="1:3" x14ac:dyDescent="0.2">
      <c r="A251" t="s">
        <v>2952</v>
      </c>
      <c r="B251" t="s">
        <v>2953</v>
      </c>
      <c r="C251" t="s">
        <v>14</v>
      </c>
    </row>
    <row r="252" spans="1:3" x14ac:dyDescent="0.2">
      <c r="A252" t="s">
        <v>2950</v>
      </c>
      <c r="B252" t="s">
        <v>2951</v>
      </c>
      <c r="C252" t="s">
        <v>45</v>
      </c>
    </row>
    <row r="253" spans="1:3" x14ac:dyDescent="0.2">
      <c r="A253" t="s">
        <v>2948</v>
      </c>
      <c r="B253" t="s">
        <v>2949</v>
      </c>
      <c r="C253" t="s">
        <v>14</v>
      </c>
    </row>
    <row r="254" spans="1:3" x14ac:dyDescent="0.2">
      <c r="A254" t="s">
        <v>2946</v>
      </c>
      <c r="B254" t="s">
        <v>2947</v>
      </c>
      <c r="C254" t="s">
        <v>14</v>
      </c>
    </row>
    <row r="255" spans="1:3" x14ac:dyDescent="0.2">
      <c r="A255" t="s">
        <v>2944</v>
      </c>
      <c r="B255" t="s">
        <v>2945</v>
      </c>
      <c r="C255" t="s">
        <v>17</v>
      </c>
    </row>
    <row r="256" spans="1:3" x14ac:dyDescent="0.2">
      <c r="A256" t="s">
        <v>2942</v>
      </c>
      <c r="B256" t="s">
        <v>2943</v>
      </c>
      <c r="C256" t="s">
        <v>14</v>
      </c>
    </row>
    <row r="257" spans="1:3" x14ac:dyDescent="0.2">
      <c r="A257" t="s">
        <v>2940</v>
      </c>
      <c r="B257" t="s">
        <v>2941</v>
      </c>
      <c r="C257" t="s">
        <v>14</v>
      </c>
    </row>
    <row r="258" spans="1:3" x14ac:dyDescent="0.2">
      <c r="A258" t="s">
        <v>2938</v>
      </c>
      <c r="B258" t="s">
        <v>2939</v>
      </c>
      <c r="C258" t="s">
        <v>14</v>
      </c>
    </row>
    <row r="259" spans="1:3" x14ac:dyDescent="0.2">
      <c r="A259" t="s">
        <v>2936</v>
      </c>
      <c r="B259" t="s">
        <v>2937</v>
      </c>
      <c r="C259" t="s">
        <v>14</v>
      </c>
    </row>
    <row r="260" spans="1:3" x14ac:dyDescent="0.2">
      <c r="A260" t="s">
        <v>2934</v>
      </c>
      <c r="B260" t="s">
        <v>2935</v>
      </c>
      <c r="C260" t="s">
        <v>14</v>
      </c>
    </row>
    <row r="261" spans="1:3" x14ac:dyDescent="0.2">
      <c r="A261" t="s">
        <v>2932</v>
      </c>
      <c r="B261" t="s">
        <v>2933</v>
      </c>
      <c r="C261" t="s">
        <v>45</v>
      </c>
    </row>
    <row r="262" spans="1:3" x14ac:dyDescent="0.2">
      <c r="A262" t="s">
        <v>2930</v>
      </c>
      <c r="B262" t="s">
        <v>2931</v>
      </c>
      <c r="C262" t="s">
        <v>14</v>
      </c>
    </row>
    <row r="263" spans="1:3" x14ac:dyDescent="0.2">
      <c r="A263" t="s">
        <v>2928</v>
      </c>
      <c r="B263" t="s">
        <v>2929</v>
      </c>
      <c r="C263" t="s">
        <v>17</v>
      </c>
    </row>
    <row r="264" spans="1:3" x14ac:dyDescent="0.2">
      <c r="A264" t="s">
        <v>2926</v>
      </c>
      <c r="B264" t="s">
        <v>2927</v>
      </c>
      <c r="C264" t="s">
        <v>14</v>
      </c>
    </row>
    <row r="265" spans="1:3" x14ac:dyDescent="0.2">
      <c r="A265" t="s">
        <v>2924</v>
      </c>
      <c r="B265" t="s">
        <v>2925</v>
      </c>
      <c r="C265" t="s">
        <v>17</v>
      </c>
    </row>
    <row r="266" spans="1:3" x14ac:dyDescent="0.2">
      <c r="A266" t="s">
        <v>2922</v>
      </c>
      <c r="B266" t="s">
        <v>2923</v>
      </c>
      <c r="C266" t="s">
        <v>14</v>
      </c>
    </row>
    <row r="267" spans="1:3" x14ac:dyDescent="0.2">
      <c r="A267" t="s">
        <v>2920</v>
      </c>
      <c r="B267" t="s">
        <v>2921</v>
      </c>
      <c r="C267" t="s">
        <v>14</v>
      </c>
    </row>
    <row r="268" spans="1:3" x14ac:dyDescent="0.2">
      <c r="A268" t="s">
        <v>2918</v>
      </c>
      <c r="B268" t="s">
        <v>2919</v>
      </c>
      <c r="C268" t="s">
        <v>17</v>
      </c>
    </row>
    <row r="269" spans="1:3" x14ac:dyDescent="0.2">
      <c r="A269" t="s">
        <v>2916</v>
      </c>
      <c r="B269" t="s">
        <v>2917</v>
      </c>
      <c r="C269" t="s">
        <v>14</v>
      </c>
    </row>
    <row r="270" spans="1:3" x14ac:dyDescent="0.2">
      <c r="A270" t="s">
        <v>2914</v>
      </c>
      <c r="B270" t="s">
        <v>2915</v>
      </c>
      <c r="C270" t="s">
        <v>14</v>
      </c>
    </row>
    <row r="271" spans="1:3" x14ac:dyDescent="0.2">
      <c r="A271" t="s">
        <v>2912</v>
      </c>
      <c r="B271" t="s">
        <v>2913</v>
      </c>
      <c r="C271" t="s">
        <v>17</v>
      </c>
    </row>
    <row r="272" spans="1:3" x14ac:dyDescent="0.2">
      <c r="A272" t="s">
        <v>2910</v>
      </c>
      <c r="B272" t="s">
        <v>2911</v>
      </c>
      <c r="C272" t="s">
        <v>14</v>
      </c>
    </row>
    <row r="273" spans="1:3" x14ac:dyDescent="0.2">
      <c r="A273" t="s">
        <v>2908</v>
      </c>
      <c r="B273" t="s">
        <v>2909</v>
      </c>
      <c r="C273" t="s">
        <v>45</v>
      </c>
    </row>
    <row r="274" spans="1:3" x14ac:dyDescent="0.2">
      <c r="A274" t="s">
        <v>2906</v>
      </c>
      <c r="B274" t="s">
        <v>2907</v>
      </c>
      <c r="C274" t="s">
        <v>14</v>
      </c>
    </row>
    <row r="275" spans="1:3" x14ac:dyDescent="0.2">
      <c r="A275" t="s">
        <v>2904</v>
      </c>
      <c r="B275" t="s">
        <v>2905</v>
      </c>
      <c r="C275" t="s">
        <v>14</v>
      </c>
    </row>
    <row r="276" spans="1:3" x14ac:dyDescent="0.2">
      <c r="A276" t="s">
        <v>2902</v>
      </c>
      <c r="B276" t="s">
        <v>2903</v>
      </c>
      <c r="C276" t="s">
        <v>14</v>
      </c>
    </row>
    <row r="277" spans="1:3" x14ac:dyDescent="0.2">
      <c r="A277" t="s">
        <v>2900</v>
      </c>
      <c r="B277" t="s">
        <v>2901</v>
      </c>
      <c r="C277" t="s">
        <v>14</v>
      </c>
    </row>
    <row r="278" spans="1:3" x14ac:dyDescent="0.2">
      <c r="A278" t="s">
        <v>2898</v>
      </c>
      <c r="B278" t="s">
        <v>2899</v>
      </c>
      <c r="C278" t="s">
        <v>17</v>
      </c>
    </row>
    <row r="279" spans="1:3" x14ac:dyDescent="0.2">
      <c r="A279" t="s">
        <v>2896</v>
      </c>
      <c r="B279" t="s">
        <v>2897</v>
      </c>
      <c r="C279" t="s">
        <v>17</v>
      </c>
    </row>
    <row r="280" spans="1:3" x14ac:dyDescent="0.2">
      <c r="A280" t="s">
        <v>2894</v>
      </c>
      <c r="B280" t="s">
        <v>2895</v>
      </c>
      <c r="C280" t="s">
        <v>17</v>
      </c>
    </row>
    <row r="281" spans="1:3" x14ac:dyDescent="0.2">
      <c r="A281" t="s">
        <v>2892</v>
      </c>
      <c r="B281" t="s">
        <v>2893</v>
      </c>
      <c r="C281" t="s">
        <v>45</v>
      </c>
    </row>
    <row r="282" spans="1:3" x14ac:dyDescent="0.2">
      <c r="A282" t="s">
        <v>2890</v>
      </c>
      <c r="B282" t="s">
        <v>2891</v>
      </c>
      <c r="C282" t="s">
        <v>14</v>
      </c>
    </row>
    <row r="283" spans="1:3" x14ac:dyDescent="0.2">
      <c r="A283" t="s">
        <v>2888</v>
      </c>
      <c r="B283" t="s">
        <v>2889</v>
      </c>
      <c r="C283" t="s">
        <v>17</v>
      </c>
    </row>
    <row r="284" spans="1:3" x14ac:dyDescent="0.2">
      <c r="A284" t="s">
        <v>2886</v>
      </c>
      <c r="B284" t="s">
        <v>2887</v>
      </c>
      <c r="C284" t="s">
        <v>45</v>
      </c>
    </row>
    <row r="285" spans="1:3" x14ac:dyDescent="0.2">
      <c r="A285" t="s">
        <v>2884</v>
      </c>
      <c r="B285" t="s">
        <v>2885</v>
      </c>
      <c r="C285" t="s">
        <v>17</v>
      </c>
    </row>
    <row r="286" spans="1:3" x14ac:dyDescent="0.2">
      <c r="A286" t="s">
        <v>2882</v>
      </c>
      <c r="B286" t="s">
        <v>2883</v>
      </c>
      <c r="C286" t="s">
        <v>14</v>
      </c>
    </row>
    <row r="287" spans="1:3" x14ac:dyDescent="0.2">
      <c r="A287" t="s">
        <v>2881</v>
      </c>
      <c r="C287" t="s">
        <v>38</v>
      </c>
    </row>
    <row r="288" spans="1:3" x14ac:dyDescent="0.2">
      <c r="A288" t="s">
        <v>2879</v>
      </c>
      <c r="B288" t="s">
        <v>2880</v>
      </c>
      <c r="C288" t="s">
        <v>14</v>
      </c>
    </row>
    <row r="289" spans="1:3" x14ac:dyDescent="0.2">
      <c r="A289" t="s">
        <v>2877</v>
      </c>
      <c r="B289" t="s">
        <v>2878</v>
      </c>
      <c r="C289" t="s">
        <v>14</v>
      </c>
    </row>
    <row r="290" spans="1:3" x14ac:dyDescent="0.2">
      <c r="A290" t="s">
        <v>2875</v>
      </c>
      <c r="B290" t="s">
        <v>2876</v>
      </c>
      <c r="C290" t="s">
        <v>45</v>
      </c>
    </row>
    <row r="291" spans="1:3" x14ac:dyDescent="0.2">
      <c r="A291" t="s">
        <v>2873</v>
      </c>
      <c r="B291" t="s">
        <v>2874</v>
      </c>
      <c r="C291" t="s">
        <v>38</v>
      </c>
    </row>
    <row r="292" spans="1:3" x14ac:dyDescent="0.2">
      <c r="A292" t="s">
        <v>2871</v>
      </c>
      <c r="B292" t="s">
        <v>2872</v>
      </c>
      <c r="C292" t="s">
        <v>17</v>
      </c>
    </row>
    <row r="293" spans="1:3" x14ac:dyDescent="0.2">
      <c r="A293" t="s">
        <v>2869</v>
      </c>
      <c r="B293" t="s">
        <v>2870</v>
      </c>
      <c r="C293" t="s">
        <v>17</v>
      </c>
    </row>
    <row r="294" spans="1:3" x14ac:dyDescent="0.2">
      <c r="A294" t="s">
        <v>2867</v>
      </c>
      <c r="B294" t="s">
        <v>2868</v>
      </c>
      <c r="C294" t="s">
        <v>17</v>
      </c>
    </row>
    <row r="295" spans="1:3" x14ac:dyDescent="0.2">
      <c r="A295" t="s">
        <v>2865</v>
      </c>
      <c r="B295" t="s">
        <v>2866</v>
      </c>
      <c r="C295" t="s">
        <v>17</v>
      </c>
    </row>
    <row r="296" spans="1:3" x14ac:dyDescent="0.2">
      <c r="A296" t="s">
        <v>2863</v>
      </c>
      <c r="B296" t="s">
        <v>2864</v>
      </c>
      <c r="C296" t="s">
        <v>14</v>
      </c>
    </row>
    <row r="297" spans="1:3" x14ac:dyDescent="0.2">
      <c r="A297" t="s">
        <v>2861</v>
      </c>
      <c r="B297" t="s">
        <v>2862</v>
      </c>
      <c r="C297" t="s">
        <v>45</v>
      </c>
    </row>
    <row r="298" spans="1:3" x14ac:dyDescent="0.2">
      <c r="A298" t="s">
        <v>2859</v>
      </c>
      <c r="B298" t="s">
        <v>2860</v>
      </c>
      <c r="C298" t="s">
        <v>17</v>
      </c>
    </row>
    <row r="299" spans="1:3" x14ac:dyDescent="0.2">
      <c r="A299" t="s">
        <v>2857</v>
      </c>
      <c r="B299" t="s">
        <v>2858</v>
      </c>
      <c r="C299" t="s">
        <v>17</v>
      </c>
    </row>
    <row r="300" spans="1:3" x14ac:dyDescent="0.2">
      <c r="A300" t="s">
        <v>2855</v>
      </c>
      <c r="B300" t="s">
        <v>2856</v>
      </c>
      <c r="C300" t="s">
        <v>45</v>
      </c>
    </row>
    <row r="301" spans="1:3" x14ac:dyDescent="0.2">
      <c r="A301" t="s">
        <v>2853</v>
      </c>
      <c r="B301" t="s">
        <v>2854</v>
      </c>
      <c r="C301" t="s">
        <v>14</v>
      </c>
    </row>
    <row r="302" spans="1:3" x14ac:dyDescent="0.2">
      <c r="A302" t="s">
        <v>2851</v>
      </c>
      <c r="B302" t="s">
        <v>2852</v>
      </c>
      <c r="C302" t="s">
        <v>14</v>
      </c>
    </row>
    <row r="303" spans="1:3" x14ac:dyDescent="0.2">
      <c r="A303" t="s">
        <v>2849</v>
      </c>
      <c r="B303" t="s">
        <v>2850</v>
      </c>
      <c r="C303" t="s">
        <v>14</v>
      </c>
    </row>
    <row r="304" spans="1:3" x14ac:dyDescent="0.2">
      <c r="A304" t="s">
        <v>2847</v>
      </c>
      <c r="B304" t="s">
        <v>2848</v>
      </c>
      <c r="C304" t="s">
        <v>38</v>
      </c>
    </row>
    <row r="305" spans="1:3" x14ac:dyDescent="0.2">
      <c r="A305" t="s">
        <v>2845</v>
      </c>
      <c r="B305" t="s">
        <v>2846</v>
      </c>
      <c r="C305" t="s">
        <v>17</v>
      </c>
    </row>
    <row r="306" spans="1:3" x14ac:dyDescent="0.2">
      <c r="A306" t="s">
        <v>2843</v>
      </c>
      <c r="B306" t="s">
        <v>2844</v>
      </c>
      <c r="C306" t="s">
        <v>45</v>
      </c>
    </row>
    <row r="307" spans="1:3" x14ac:dyDescent="0.2">
      <c r="A307" t="s">
        <v>2841</v>
      </c>
      <c r="B307" t="s">
        <v>2842</v>
      </c>
      <c r="C307" t="s">
        <v>14</v>
      </c>
    </row>
    <row r="308" spans="1:3" x14ac:dyDescent="0.2">
      <c r="A308" t="s">
        <v>2839</v>
      </c>
      <c r="B308" t="s">
        <v>2840</v>
      </c>
      <c r="C308" t="s">
        <v>45</v>
      </c>
    </row>
    <row r="309" spans="1:3" x14ac:dyDescent="0.2">
      <c r="A309" t="s">
        <v>2837</v>
      </c>
      <c r="B309" t="s">
        <v>2838</v>
      </c>
      <c r="C309" t="s">
        <v>38</v>
      </c>
    </row>
    <row r="310" spans="1:3" x14ac:dyDescent="0.2">
      <c r="A310" t="s">
        <v>2835</v>
      </c>
      <c r="B310" t="s">
        <v>2836</v>
      </c>
      <c r="C310" t="s">
        <v>17</v>
      </c>
    </row>
    <row r="311" spans="1:3" x14ac:dyDescent="0.2">
      <c r="A311" t="s">
        <v>2833</v>
      </c>
      <c r="B311" t="s">
        <v>2834</v>
      </c>
      <c r="C311" t="s">
        <v>14</v>
      </c>
    </row>
    <row r="312" spans="1:3" x14ac:dyDescent="0.2">
      <c r="A312" t="s">
        <v>2831</v>
      </c>
      <c r="B312" t="s">
        <v>2832</v>
      </c>
      <c r="C312" t="s">
        <v>45</v>
      </c>
    </row>
    <row r="313" spans="1:3" x14ac:dyDescent="0.2">
      <c r="A313" t="s">
        <v>2829</v>
      </c>
      <c r="B313" t="s">
        <v>2830</v>
      </c>
      <c r="C313" t="s">
        <v>45</v>
      </c>
    </row>
    <row r="314" spans="1:3" x14ac:dyDescent="0.2">
      <c r="A314" t="s">
        <v>2827</v>
      </c>
      <c r="B314" t="s">
        <v>2828</v>
      </c>
      <c r="C314" t="s">
        <v>14</v>
      </c>
    </row>
    <row r="315" spans="1:3" x14ac:dyDescent="0.2">
      <c r="A315" t="s">
        <v>2825</v>
      </c>
      <c r="B315" t="s">
        <v>2826</v>
      </c>
      <c r="C315" t="s">
        <v>17</v>
      </c>
    </row>
    <row r="316" spans="1:3" x14ac:dyDescent="0.2">
      <c r="A316" t="s">
        <v>2823</v>
      </c>
      <c r="B316" t="s">
        <v>2824</v>
      </c>
      <c r="C316" t="s">
        <v>14</v>
      </c>
    </row>
    <row r="317" spans="1:3" x14ac:dyDescent="0.2">
      <c r="A317" t="s">
        <v>2821</v>
      </c>
      <c r="B317" t="s">
        <v>2822</v>
      </c>
      <c r="C317" t="s">
        <v>38</v>
      </c>
    </row>
    <row r="318" spans="1:3" x14ac:dyDescent="0.2">
      <c r="A318" t="s">
        <v>2819</v>
      </c>
      <c r="B318" t="s">
        <v>2820</v>
      </c>
      <c r="C318" t="s">
        <v>14</v>
      </c>
    </row>
    <row r="319" spans="1:3" x14ac:dyDescent="0.2">
      <c r="A319" t="s">
        <v>2817</v>
      </c>
      <c r="B319" t="s">
        <v>2818</v>
      </c>
      <c r="C319" t="s">
        <v>17</v>
      </c>
    </row>
    <row r="320" spans="1:3" x14ac:dyDescent="0.2">
      <c r="A320" t="s">
        <v>2815</v>
      </c>
      <c r="B320" t="s">
        <v>2816</v>
      </c>
      <c r="C320" t="s">
        <v>17</v>
      </c>
    </row>
    <row r="321" spans="1:3" x14ac:dyDescent="0.2">
      <c r="A321" t="s">
        <v>2813</v>
      </c>
      <c r="B321" t="s">
        <v>2814</v>
      </c>
      <c r="C321" t="s">
        <v>17</v>
      </c>
    </row>
    <row r="322" spans="1:3" x14ac:dyDescent="0.2">
      <c r="A322" t="s">
        <v>2811</v>
      </c>
      <c r="B322" t="s">
        <v>2812</v>
      </c>
      <c r="C322" t="s">
        <v>38</v>
      </c>
    </row>
    <row r="323" spans="1:3" x14ac:dyDescent="0.2">
      <c r="A323" t="s">
        <v>2809</v>
      </c>
      <c r="B323" t="s">
        <v>2810</v>
      </c>
      <c r="C323" t="s">
        <v>14</v>
      </c>
    </row>
    <row r="324" spans="1:3" x14ac:dyDescent="0.2">
      <c r="A324" t="s">
        <v>2807</v>
      </c>
      <c r="B324" t="s">
        <v>2808</v>
      </c>
      <c r="C324" t="s">
        <v>17</v>
      </c>
    </row>
    <row r="325" spans="1:3" x14ac:dyDescent="0.2">
      <c r="A325" t="s">
        <v>2805</v>
      </c>
      <c r="B325" t="s">
        <v>2806</v>
      </c>
      <c r="C325" t="s">
        <v>38</v>
      </c>
    </row>
    <row r="326" spans="1:3" x14ac:dyDescent="0.2">
      <c r="A326" t="s">
        <v>2803</v>
      </c>
      <c r="B326" t="s">
        <v>2804</v>
      </c>
      <c r="C326" t="s">
        <v>14</v>
      </c>
    </row>
    <row r="327" spans="1:3" x14ac:dyDescent="0.2">
      <c r="A327" t="s">
        <v>2801</v>
      </c>
      <c r="B327" t="s">
        <v>2802</v>
      </c>
      <c r="C327" t="s">
        <v>45</v>
      </c>
    </row>
    <row r="328" spans="1:3" x14ac:dyDescent="0.2">
      <c r="A328" t="s">
        <v>2799</v>
      </c>
      <c r="B328" t="s">
        <v>2800</v>
      </c>
      <c r="C328" t="s">
        <v>17</v>
      </c>
    </row>
    <row r="329" spans="1:3" x14ac:dyDescent="0.2">
      <c r="A329" t="s">
        <v>2797</v>
      </c>
      <c r="B329" t="s">
        <v>2798</v>
      </c>
      <c r="C329" t="s">
        <v>14</v>
      </c>
    </row>
    <row r="330" spans="1:3" x14ac:dyDescent="0.2">
      <c r="A330" t="s">
        <v>2795</v>
      </c>
      <c r="B330" t="s">
        <v>2796</v>
      </c>
      <c r="C330" t="s">
        <v>14</v>
      </c>
    </row>
    <row r="331" spans="1:3" x14ac:dyDescent="0.2">
      <c r="A331" t="s">
        <v>2793</v>
      </c>
      <c r="B331" t="s">
        <v>2794</v>
      </c>
      <c r="C331" t="s">
        <v>14</v>
      </c>
    </row>
    <row r="332" spans="1:3" x14ac:dyDescent="0.2">
      <c r="A332" t="s">
        <v>2791</v>
      </c>
      <c r="B332" t="s">
        <v>2792</v>
      </c>
      <c r="C332" t="s">
        <v>17</v>
      </c>
    </row>
    <row r="333" spans="1:3" x14ac:dyDescent="0.2">
      <c r="A333" t="s">
        <v>2789</v>
      </c>
      <c r="B333" t="s">
        <v>2790</v>
      </c>
      <c r="C333" t="s">
        <v>17</v>
      </c>
    </row>
    <row r="334" spans="1:3" x14ac:dyDescent="0.2">
      <c r="A334" t="s">
        <v>2787</v>
      </c>
      <c r="B334" t="s">
        <v>2788</v>
      </c>
      <c r="C334" t="s">
        <v>14</v>
      </c>
    </row>
    <row r="335" spans="1:3" x14ac:dyDescent="0.2">
      <c r="A335" t="s">
        <v>2785</v>
      </c>
      <c r="B335" t="s">
        <v>2786</v>
      </c>
      <c r="C335" t="s">
        <v>14</v>
      </c>
    </row>
    <row r="336" spans="1:3" x14ac:dyDescent="0.2">
      <c r="A336" t="s">
        <v>2783</v>
      </c>
      <c r="B336" t="s">
        <v>2784</v>
      </c>
      <c r="C336" t="s">
        <v>14</v>
      </c>
    </row>
    <row r="337" spans="1:3" x14ac:dyDescent="0.2">
      <c r="A337" t="s">
        <v>2781</v>
      </c>
      <c r="B337" t="s">
        <v>2782</v>
      </c>
      <c r="C337" t="s">
        <v>14</v>
      </c>
    </row>
    <row r="338" spans="1:3" x14ac:dyDescent="0.2">
      <c r="A338" t="s">
        <v>2779</v>
      </c>
      <c r="B338" t="s">
        <v>2780</v>
      </c>
      <c r="C338" t="s">
        <v>45</v>
      </c>
    </row>
    <row r="339" spans="1:3" x14ac:dyDescent="0.2">
      <c r="A339" t="s">
        <v>2777</v>
      </c>
      <c r="B339" t="s">
        <v>2778</v>
      </c>
      <c r="C339" t="s">
        <v>14</v>
      </c>
    </row>
    <row r="340" spans="1:3" x14ac:dyDescent="0.2">
      <c r="A340" t="s">
        <v>2775</v>
      </c>
      <c r="B340" t="s">
        <v>2776</v>
      </c>
      <c r="C340" t="s">
        <v>14</v>
      </c>
    </row>
    <row r="341" spans="1:3" x14ac:dyDescent="0.2">
      <c r="A341" t="s">
        <v>2773</v>
      </c>
      <c r="B341" t="s">
        <v>2774</v>
      </c>
      <c r="C341" t="s">
        <v>14</v>
      </c>
    </row>
    <row r="342" spans="1:3" x14ac:dyDescent="0.2">
      <c r="A342" t="s">
        <v>2771</v>
      </c>
      <c r="B342" t="s">
        <v>2772</v>
      </c>
      <c r="C342" t="s">
        <v>14</v>
      </c>
    </row>
    <row r="343" spans="1:3" x14ac:dyDescent="0.2">
      <c r="A343" t="s">
        <v>2769</v>
      </c>
      <c r="B343" t="s">
        <v>2770</v>
      </c>
      <c r="C343" t="s">
        <v>14</v>
      </c>
    </row>
    <row r="344" spans="1:3" x14ac:dyDescent="0.2">
      <c r="A344" t="s">
        <v>2767</v>
      </c>
      <c r="B344" t="s">
        <v>2768</v>
      </c>
      <c r="C344" t="s">
        <v>14</v>
      </c>
    </row>
    <row r="345" spans="1:3" x14ac:dyDescent="0.2">
      <c r="A345" t="s">
        <v>2765</v>
      </c>
      <c r="B345" t="s">
        <v>2766</v>
      </c>
      <c r="C345" t="s">
        <v>17</v>
      </c>
    </row>
    <row r="346" spans="1:3" x14ac:dyDescent="0.2">
      <c r="A346" t="s">
        <v>2763</v>
      </c>
      <c r="B346" t="s">
        <v>2764</v>
      </c>
      <c r="C346" t="s">
        <v>14</v>
      </c>
    </row>
    <row r="347" spans="1:3" x14ac:dyDescent="0.2">
      <c r="A347" t="s">
        <v>2761</v>
      </c>
      <c r="B347" t="s">
        <v>2762</v>
      </c>
      <c r="C347" t="s">
        <v>17</v>
      </c>
    </row>
    <row r="348" spans="1:3" x14ac:dyDescent="0.2">
      <c r="A348" t="s">
        <v>2759</v>
      </c>
      <c r="B348" t="s">
        <v>2760</v>
      </c>
      <c r="C348" t="s">
        <v>17</v>
      </c>
    </row>
    <row r="349" spans="1:3" x14ac:dyDescent="0.2">
      <c r="A349" t="s">
        <v>2757</v>
      </c>
      <c r="B349" t="s">
        <v>2758</v>
      </c>
      <c r="C349" t="s">
        <v>14</v>
      </c>
    </row>
    <row r="350" spans="1:3" x14ac:dyDescent="0.2">
      <c r="A350" t="s">
        <v>2755</v>
      </c>
      <c r="B350" t="s">
        <v>2756</v>
      </c>
      <c r="C350" t="s">
        <v>17</v>
      </c>
    </row>
    <row r="351" spans="1:3" x14ac:dyDescent="0.2">
      <c r="A351" t="s">
        <v>2753</v>
      </c>
      <c r="B351" t="s">
        <v>2754</v>
      </c>
      <c r="C351" t="s">
        <v>14</v>
      </c>
    </row>
    <row r="352" spans="1:3" x14ac:dyDescent="0.2">
      <c r="A352" t="s">
        <v>2751</v>
      </c>
      <c r="B352" t="s">
        <v>2752</v>
      </c>
      <c r="C352" t="s">
        <v>17</v>
      </c>
    </row>
    <row r="353" spans="1:3" x14ac:dyDescent="0.2">
      <c r="A353" t="s">
        <v>2749</v>
      </c>
      <c r="B353" t="s">
        <v>2750</v>
      </c>
      <c r="C353" t="s">
        <v>17</v>
      </c>
    </row>
    <row r="354" spans="1:3" x14ac:dyDescent="0.2">
      <c r="A354" t="s">
        <v>2747</v>
      </c>
      <c r="B354" t="s">
        <v>2748</v>
      </c>
      <c r="C354" t="s">
        <v>14</v>
      </c>
    </row>
    <row r="355" spans="1:3" x14ac:dyDescent="0.2">
      <c r="A355" t="s">
        <v>2745</v>
      </c>
      <c r="B355" t="s">
        <v>2746</v>
      </c>
      <c r="C355" t="s">
        <v>45</v>
      </c>
    </row>
    <row r="356" spans="1:3" x14ac:dyDescent="0.2">
      <c r="A356" t="s">
        <v>2743</v>
      </c>
      <c r="B356" t="s">
        <v>2744</v>
      </c>
      <c r="C356" t="s">
        <v>45</v>
      </c>
    </row>
    <row r="357" spans="1:3" x14ac:dyDescent="0.2">
      <c r="A357" t="s">
        <v>2741</v>
      </c>
      <c r="B357" t="s">
        <v>2742</v>
      </c>
      <c r="C357" t="s">
        <v>14</v>
      </c>
    </row>
    <row r="358" spans="1:3" x14ac:dyDescent="0.2">
      <c r="A358" t="s">
        <v>2739</v>
      </c>
      <c r="B358" t="s">
        <v>2740</v>
      </c>
      <c r="C358" t="s">
        <v>14</v>
      </c>
    </row>
    <row r="359" spans="1:3" x14ac:dyDescent="0.2">
      <c r="A359" t="s">
        <v>2737</v>
      </c>
      <c r="B359" t="s">
        <v>2738</v>
      </c>
      <c r="C359" t="s">
        <v>17</v>
      </c>
    </row>
    <row r="360" spans="1:3" x14ac:dyDescent="0.2">
      <c r="A360" t="s">
        <v>2735</v>
      </c>
      <c r="B360" t="s">
        <v>2736</v>
      </c>
      <c r="C360" t="s">
        <v>45</v>
      </c>
    </row>
    <row r="361" spans="1:3" x14ac:dyDescent="0.2">
      <c r="A361" t="s">
        <v>2733</v>
      </c>
      <c r="B361" t="s">
        <v>2734</v>
      </c>
      <c r="C361" t="s">
        <v>14</v>
      </c>
    </row>
    <row r="362" spans="1:3" x14ac:dyDescent="0.2">
      <c r="A362" t="s">
        <v>2731</v>
      </c>
      <c r="B362" t="s">
        <v>2732</v>
      </c>
      <c r="C362" t="s">
        <v>14</v>
      </c>
    </row>
    <row r="363" spans="1:3" x14ac:dyDescent="0.2">
      <c r="A363" t="s">
        <v>2730</v>
      </c>
      <c r="C363" t="s">
        <v>38</v>
      </c>
    </row>
    <row r="364" spans="1:3" x14ac:dyDescent="0.2">
      <c r="A364" t="s">
        <v>2728</v>
      </c>
      <c r="B364" t="s">
        <v>2729</v>
      </c>
      <c r="C364" t="s">
        <v>14</v>
      </c>
    </row>
    <row r="365" spans="1:3" x14ac:dyDescent="0.2">
      <c r="A365" t="s">
        <v>2726</v>
      </c>
      <c r="B365" t="s">
        <v>2727</v>
      </c>
      <c r="C365" t="s">
        <v>45</v>
      </c>
    </row>
    <row r="366" spans="1:3" x14ac:dyDescent="0.2">
      <c r="A366" t="s">
        <v>2724</v>
      </c>
      <c r="B366" t="s">
        <v>2725</v>
      </c>
      <c r="C366" t="s">
        <v>14</v>
      </c>
    </row>
    <row r="367" spans="1:3" x14ac:dyDescent="0.2">
      <c r="A367" t="s">
        <v>2722</v>
      </c>
      <c r="B367" t="s">
        <v>2723</v>
      </c>
      <c r="C367" t="s">
        <v>17</v>
      </c>
    </row>
    <row r="368" spans="1:3" x14ac:dyDescent="0.2">
      <c r="A368" t="s">
        <v>2720</v>
      </c>
      <c r="B368" t="s">
        <v>2721</v>
      </c>
      <c r="C368" t="s">
        <v>38</v>
      </c>
    </row>
    <row r="369" spans="1:3" x14ac:dyDescent="0.2">
      <c r="A369" t="s">
        <v>2718</v>
      </c>
      <c r="B369" t="s">
        <v>2719</v>
      </c>
      <c r="C369" t="s">
        <v>14</v>
      </c>
    </row>
    <row r="370" spans="1:3" x14ac:dyDescent="0.2">
      <c r="A370" t="s">
        <v>2716</v>
      </c>
      <c r="B370" t="s">
        <v>2717</v>
      </c>
      <c r="C370" t="s">
        <v>14</v>
      </c>
    </row>
    <row r="371" spans="1:3" x14ac:dyDescent="0.2">
      <c r="A371" t="s">
        <v>2714</v>
      </c>
      <c r="B371" t="s">
        <v>2715</v>
      </c>
      <c r="C371" t="s">
        <v>14</v>
      </c>
    </row>
    <row r="372" spans="1:3" x14ac:dyDescent="0.2">
      <c r="A372" t="s">
        <v>2712</v>
      </c>
      <c r="B372" t="s">
        <v>2713</v>
      </c>
      <c r="C372" t="s">
        <v>17</v>
      </c>
    </row>
    <row r="373" spans="1:3" x14ac:dyDescent="0.2">
      <c r="A373" t="s">
        <v>2710</v>
      </c>
      <c r="B373" t="s">
        <v>2711</v>
      </c>
      <c r="C373" t="s">
        <v>14</v>
      </c>
    </row>
    <row r="374" spans="1:3" x14ac:dyDescent="0.2">
      <c r="A374" t="s">
        <v>2708</v>
      </c>
      <c r="B374" t="s">
        <v>2709</v>
      </c>
      <c r="C374" t="s">
        <v>14</v>
      </c>
    </row>
    <row r="375" spans="1:3" x14ac:dyDescent="0.2">
      <c r="A375" t="s">
        <v>2706</v>
      </c>
      <c r="B375" t="s">
        <v>2707</v>
      </c>
      <c r="C375" t="s">
        <v>14</v>
      </c>
    </row>
    <row r="376" spans="1:3" x14ac:dyDescent="0.2">
      <c r="A376" t="s">
        <v>2705</v>
      </c>
      <c r="C376" t="s">
        <v>38</v>
      </c>
    </row>
    <row r="377" spans="1:3" x14ac:dyDescent="0.2">
      <c r="A377" t="s">
        <v>2703</v>
      </c>
      <c r="B377" t="s">
        <v>2704</v>
      </c>
      <c r="C377" t="s">
        <v>45</v>
      </c>
    </row>
    <row r="378" spans="1:3" x14ac:dyDescent="0.2">
      <c r="A378" t="s">
        <v>2701</v>
      </c>
      <c r="B378" t="s">
        <v>2702</v>
      </c>
      <c r="C378" t="s">
        <v>14</v>
      </c>
    </row>
    <row r="379" spans="1:3" x14ac:dyDescent="0.2">
      <c r="A379" t="s">
        <v>2699</v>
      </c>
      <c r="B379" t="s">
        <v>2700</v>
      </c>
      <c r="C379" t="s">
        <v>14</v>
      </c>
    </row>
    <row r="380" spans="1:3" x14ac:dyDescent="0.2">
      <c r="A380" t="s">
        <v>2697</v>
      </c>
      <c r="B380" t="s">
        <v>2698</v>
      </c>
      <c r="C380" t="s">
        <v>14</v>
      </c>
    </row>
    <row r="381" spans="1:3" x14ac:dyDescent="0.2">
      <c r="A381" t="s">
        <v>2695</v>
      </c>
      <c r="B381" t="s">
        <v>2696</v>
      </c>
      <c r="C381" t="s">
        <v>14</v>
      </c>
    </row>
    <row r="382" spans="1:3" x14ac:dyDescent="0.2">
      <c r="A382" t="s">
        <v>2693</v>
      </c>
      <c r="B382" t="s">
        <v>2694</v>
      </c>
      <c r="C382" t="s">
        <v>14</v>
      </c>
    </row>
    <row r="383" spans="1:3" x14ac:dyDescent="0.2">
      <c r="A383" t="s">
        <v>2691</v>
      </c>
      <c r="B383" t="s">
        <v>2692</v>
      </c>
      <c r="C383" t="s">
        <v>14</v>
      </c>
    </row>
    <row r="384" spans="1:3" x14ac:dyDescent="0.2">
      <c r="A384" t="s">
        <v>2689</v>
      </c>
      <c r="B384" t="s">
        <v>2690</v>
      </c>
      <c r="C384" t="s">
        <v>45</v>
      </c>
    </row>
    <row r="385" spans="1:3" x14ac:dyDescent="0.2">
      <c r="A385" t="s">
        <v>2687</v>
      </c>
      <c r="B385" t="s">
        <v>2688</v>
      </c>
      <c r="C385" t="s">
        <v>14</v>
      </c>
    </row>
    <row r="386" spans="1:3" x14ac:dyDescent="0.2">
      <c r="A386" t="s">
        <v>2685</v>
      </c>
      <c r="B386" t="s">
        <v>2686</v>
      </c>
      <c r="C386" t="s">
        <v>14</v>
      </c>
    </row>
    <row r="387" spans="1:3" x14ac:dyDescent="0.2">
      <c r="A387" t="s">
        <v>2683</v>
      </c>
      <c r="B387" t="s">
        <v>2684</v>
      </c>
      <c r="C387" t="s">
        <v>14</v>
      </c>
    </row>
    <row r="388" spans="1:3" x14ac:dyDescent="0.2">
      <c r="A388" t="s">
        <v>2681</v>
      </c>
      <c r="B388" t="s">
        <v>2682</v>
      </c>
      <c r="C388" t="s">
        <v>14</v>
      </c>
    </row>
    <row r="389" spans="1:3" x14ac:dyDescent="0.2">
      <c r="A389" t="s">
        <v>2679</v>
      </c>
      <c r="B389" t="s">
        <v>2680</v>
      </c>
      <c r="C389" t="s">
        <v>14</v>
      </c>
    </row>
    <row r="390" spans="1:3" x14ac:dyDescent="0.2">
      <c r="A390" t="s">
        <v>2677</v>
      </c>
      <c r="B390" t="s">
        <v>2678</v>
      </c>
      <c r="C390" t="s">
        <v>14</v>
      </c>
    </row>
    <row r="391" spans="1:3" x14ac:dyDescent="0.2">
      <c r="A391" t="s">
        <v>2675</v>
      </c>
      <c r="B391" t="s">
        <v>2676</v>
      </c>
      <c r="C391" t="s">
        <v>45</v>
      </c>
    </row>
    <row r="392" spans="1:3" x14ac:dyDescent="0.2">
      <c r="A392" t="s">
        <v>2673</v>
      </c>
      <c r="B392" t="s">
        <v>2674</v>
      </c>
      <c r="C392" t="s">
        <v>14</v>
      </c>
    </row>
    <row r="393" spans="1:3" x14ac:dyDescent="0.2">
      <c r="A393" t="s">
        <v>2671</v>
      </c>
      <c r="B393" t="s">
        <v>2672</v>
      </c>
      <c r="C393" t="s">
        <v>38</v>
      </c>
    </row>
    <row r="394" spans="1:3" x14ac:dyDescent="0.2">
      <c r="A394" t="s">
        <v>2669</v>
      </c>
      <c r="B394" t="s">
        <v>2670</v>
      </c>
      <c r="C394" t="s">
        <v>17</v>
      </c>
    </row>
    <row r="395" spans="1:3" x14ac:dyDescent="0.2">
      <c r="A395" t="s">
        <v>2667</v>
      </c>
      <c r="B395" t="s">
        <v>2668</v>
      </c>
      <c r="C395" t="s">
        <v>14</v>
      </c>
    </row>
    <row r="396" spans="1:3" x14ac:dyDescent="0.2">
      <c r="A396" t="s">
        <v>2665</v>
      </c>
      <c r="B396" t="s">
        <v>2666</v>
      </c>
      <c r="C396" t="s">
        <v>17</v>
      </c>
    </row>
    <row r="397" spans="1:3" x14ac:dyDescent="0.2">
      <c r="A397" t="s">
        <v>2663</v>
      </c>
      <c r="B397" t="s">
        <v>2664</v>
      </c>
      <c r="C397" t="s">
        <v>14</v>
      </c>
    </row>
    <row r="398" spans="1:3" x14ac:dyDescent="0.2">
      <c r="A398" t="s">
        <v>2661</v>
      </c>
      <c r="B398" t="s">
        <v>2662</v>
      </c>
      <c r="C398" t="s">
        <v>17</v>
      </c>
    </row>
    <row r="399" spans="1:3" x14ac:dyDescent="0.2">
      <c r="A399" t="s">
        <v>2659</v>
      </c>
      <c r="B399" t="s">
        <v>2660</v>
      </c>
      <c r="C399" t="s">
        <v>14</v>
      </c>
    </row>
    <row r="400" spans="1:3" x14ac:dyDescent="0.2">
      <c r="A400" t="s">
        <v>2657</v>
      </c>
      <c r="B400" t="s">
        <v>2658</v>
      </c>
      <c r="C400" t="s">
        <v>17</v>
      </c>
    </row>
    <row r="401" spans="1:3" x14ac:dyDescent="0.2">
      <c r="A401" t="s">
        <v>2655</v>
      </c>
      <c r="B401" t="s">
        <v>2656</v>
      </c>
      <c r="C401" t="s">
        <v>17</v>
      </c>
    </row>
    <row r="402" spans="1:3" x14ac:dyDescent="0.2">
      <c r="A402" t="s">
        <v>2653</v>
      </c>
      <c r="B402" t="s">
        <v>2654</v>
      </c>
      <c r="C402" t="s">
        <v>14</v>
      </c>
    </row>
    <row r="403" spans="1:3" x14ac:dyDescent="0.2">
      <c r="A403" t="s">
        <v>2651</v>
      </c>
      <c r="B403" t="s">
        <v>2652</v>
      </c>
      <c r="C403" t="s">
        <v>17</v>
      </c>
    </row>
    <row r="404" spans="1:3" x14ac:dyDescent="0.2">
      <c r="A404" t="s">
        <v>2649</v>
      </c>
      <c r="B404" t="s">
        <v>2650</v>
      </c>
      <c r="C404" t="s">
        <v>14</v>
      </c>
    </row>
    <row r="405" spans="1:3" x14ac:dyDescent="0.2">
      <c r="A405" t="s">
        <v>2647</v>
      </c>
      <c r="B405" t="s">
        <v>2648</v>
      </c>
      <c r="C405" t="s">
        <v>17</v>
      </c>
    </row>
    <row r="406" spans="1:3" x14ac:dyDescent="0.2">
      <c r="A406" t="s">
        <v>2645</v>
      </c>
      <c r="B406" t="s">
        <v>2646</v>
      </c>
      <c r="C406" t="s">
        <v>45</v>
      </c>
    </row>
    <row r="407" spans="1:3" x14ac:dyDescent="0.2">
      <c r="A407" t="s">
        <v>2643</v>
      </c>
      <c r="B407" t="s">
        <v>2644</v>
      </c>
      <c r="C407" t="s">
        <v>17</v>
      </c>
    </row>
    <row r="408" spans="1:3" x14ac:dyDescent="0.2">
      <c r="A408" t="s">
        <v>2641</v>
      </c>
      <c r="B408" t="s">
        <v>2642</v>
      </c>
      <c r="C408" t="s">
        <v>14</v>
      </c>
    </row>
    <row r="409" spans="1:3" x14ac:dyDescent="0.2">
      <c r="A409" t="s">
        <v>2639</v>
      </c>
      <c r="B409" t="s">
        <v>2640</v>
      </c>
      <c r="C409" t="s">
        <v>17</v>
      </c>
    </row>
    <row r="410" spans="1:3" x14ac:dyDescent="0.2">
      <c r="A410" t="s">
        <v>2637</v>
      </c>
      <c r="B410" t="s">
        <v>2638</v>
      </c>
      <c r="C410" t="s">
        <v>14</v>
      </c>
    </row>
    <row r="411" spans="1:3" x14ac:dyDescent="0.2">
      <c r="A411" t="s">
        <v>2635</v>
      </c>
      <c r="B411" t="s">
        <v>2636</v>
      </c>
      <c r="C411" t="s">
        <v>14</v>
      </c>
    </row>
    <row r="412" spans="1:3" x14ac:dyDescent="0.2">
      <c r="A412" t="s">
        <v>2633</v>
      </c>
      <c r="B412" t="s">
        <v>2634</v>
      </c>
      <c r="C412" t="s">
        <v>17</v>
      </c>
    </row>
    <row r="413" spans="1:3" x14ac:dyDescent="0.2">
      <c r="A413" t="s">
        <v>2631</v>
      </c>
      <c r="B413" t="s">
        <v>2632</v>
      </c>
      <c r="C413" t="s">
        <v>14</v>
      </c>
    </row>
    <row r="414" spans="1:3" x14ac:dyDescent="0.2">
      <c r="A414" t="s">
        <v>2629</v>
      </c>
      <c r="B414" t="s">
        <v>2630</v>
      </c>
      <c r="C414" t="s">
        <v>45</v>
      </c>
    </row>
    <row r="415" spans="1:3" x14ac:dyDescent="0.2">
      <c r="A415" t="s">
        <v>2627</v>
      </c>
      <c r="B415" t="s">
        <v>2628</v>
      </c>
      <c r="C415" t="s">
        <v>38</v>
      </c>
    </row>
    <row r="416" spans="1:3" x14ac:dyDescent="0.2">
      <c r="A416" t="s">
        <v>2625</v>
      </c>
      <c r="B416" t="s">
        <v>2626</v>
      </c>
      <c r="C416" t="s">
        <v>38</v>
      </c>
    </row>
    <row r="417" spans="1:3" x14ac:dyDescent="0.2">
      <c r="A417" t="s">
        <v>2623</v>
      </c>
      <c r="B417" t="s">
        <v>2624</v>
      </c>
      <c r="C417" t="s">
        <v>17</v>
      </c>
    </row>
    <row r="418" spans="1:3" x14ac:dyDescent="0.2">
      <c r="A418" t="s">
        <v>2621</v>
      </c>
      <c r="B418" t="s">
        <v>2622</v>
      </c>
      <c r="C418" t="s">
        <v>38</v>
      </c>
    </row>
    <row r="419" spans="1:3" x14ac:dyDescent="0.2">
      <c r="A419" t="s">
        <v>2619</v>
      </c>
      <c r="B419" t="s">
        <v>2620</v>
      </c>
      <c r="C419" t="s">
        <v>14</v>
      </c>
    </row>
    <row r="420" spans="1:3" x14ac:dyDescent="0.2">
      <c r="A420" t="s">
        <v>2617</v>
      </c>
      <c r="B420" t="s">
        <v>2618</v>
      </c>
      <c r="C420" t="s">
        <v>45</v>
      </c>
    </row>
    <row r="421" spans="1:3" x14ac:dyDescent="0.2">
      <c r="A421" t="s">
        <v>2615</v>
      </c>
      <c r="B421" t="s">
        <v>2616</v>
      </c>
      <c r="C421" t="s">
        <v>14</v>
      </c>
    </row>
    <row r="422" spans="1:3" x14ac:dyDescent="0.2">
      <c r="A422" t="s">
        <v>2613</v>
      </c>
      <c r="B422" t="s">
        <v>2614</v>
      </c>
      <c r="C422" t="s">
        <v>45</v>
      </c>
    </row>
    <row r="423" spans="1:3" x14ac:dyDescent="0.2">
      <c r="A423" t="s">
        <v>2611</v>
      </c>
      <c r="B423" t="s">
        <v>2612</v>
      </c>
      <c r="C423" t="s">
        <v>14</v>
      </c>
    </row>
    <row r="424" spans="1:3" x14ac:dyDescent="0.2">
      <c r="A424" t="s">
        <v>2609</v>
      </c>
      <c r="B424" t="s">
        <v>2610</v>
      </c>
      <c r="C424" t="s">
        <v>14</v>
      </c>
    </row>
    <row r="425" spans="1:3" x14ac:dyDescent="0.2">
      <c r="A425" t="s">
        <v>2607</v>
      </c>
      <c r="B425" t="s">
        <v>2608</v>
      </c>
      <c r="C425" t="s">
        <v>45</v>
      </c>
    </row>
    <row r="426" spans="1:3" x14ac:dyDescent="0.2">
      <c r="A426" t="s">
        <v>2605</v>
      </c>
      <c r="B426" t="s">
        <v>2606</v>
      </c>
      <c r="C426" t="s">
        <v>17</v>
      </c>
    </row>
    <row r="427" spans="1:3" x14ac:dyDescent="0.2">
      <c r="A427" t="s">
        <v>2603</v>
      </c>
      <c r="B427" t="s">
        <v>2604</v>
      </c>
      <c r="C427" t="s">
        <v>14</v>
      </c>
    </row>
    <row r="428" spans="1:3" x14ac:dyDescent="0.2">
      <c r="A428" t="s">
        <v>2601</v>
      </c>
      <c r="B428" t="s">
        <v>2602</v>
      </c>
      <c r="C428" t="s">
        <v>17</v>
      </c>
    </row>
    <row r="429" spans="1:3" x14ac:dyDescent="0.2">
      <c r="A429" t="s">
        <v>2599</v>
      </c>
      <c r="B429" t="s">
        <v>2600</v>
      </c>
      <c r="C429" t="s">
        <v>38</v>
      </c>
    </row>
    <row r="430" spans="1:3" x14ac:dyDescent="0.2">
      <c r="A430" t="s">
        <v>2597</v>
      </c>
      <c r="B430" t="s">
        <v>2598</v>
      </c>
      <c r="C430" t="s">
        <v>14</v>
      </c>
    </row>
    <row r="431" spans="1:3" x14ac:dyDescent="0.2">
      <c r="A431" t="s">
        <v>2595</v>
      </c>
      <c r="B431" t="s">
        <v>2596</v>
      </c>
      <c r="C431" t="s">
        <v>14</v>
      </c>
    </row>
    <row r="432" spans="1:3" x14ac:dyDescent="0.2">
      <c r="A432" t="s">
        <v>2593</v>
      </c>
      <c r="B432" t="s">
        <v>2594</v>
      </c>
      <c r="C432" t="s">
        <v>14</v>
      </c>
    </row>
    <row r="433" spans="1:3" x14ac:dyDescent="0.2">
      <c r="A433" t="s">
        <v>2591</v>
      </c>
      <c r="B433" t="s">
        <v>2592</v>
      </c>
      <c r="C433" t="s">
        <v>45</v>
      </c>
    </row>
    <row r="434" spans="1:3" x14ac:dyDescent="0.2">
      <c r="A434" t="s">
        <v>2589</v>
      </c>
      <c r="B434" t="s">
        <v>2590</v>
      </c>
      <c r="C434" t="s">
        <v>14</v>
      </c>
    </row>
    <row r="435" spans="1:3" x14ac:dyDescent="0.2">
      <c r="A435" t="s">
        <v>2587</v>
      </c>
      <c r="B435" t="s">
        <v>2588</v>
      </c>
      <c r="C435" t="s">
        <v>17</v>
      </c>
    </row>
    <row r="436" spans="1:3" x14ac:dyDescent="0.2">
      <c r="A436" t="s">
        <v>2585</v>
      </c>
      <c r="B436" t="s">
        <v>2586</v>
      </c>
      <c r="C436" t="s">
        <v>14</v>
      </c>
    </row>
    <row r="437" spans="1:3" x14ac:dyDescent="0.2">
      <c r="A437" t="s">
        <v>2583</v>
      </c>
      <c r="B437" t="s">
        <v>2584</v>
      </c>
      <c r="C437" t="s">
        <v>14</v>
      </c>
    </row>
    <row r="438" spans="1:3" x14ac:dyDescent="0.2">
      <c r="A438" t="s">
        <v>2581</v>
      </c>
      <c r="B438" t="s">
        <v>2582</v>
      </c>
      <c r="C438" t="s">
        <v>14</v>
      </c>
    </row>
    <row r="439" spans="1:3" x14ac:dyDescent="0.2">
      <c r="A439" t="s">
        <v>2579</v>
      </c>
      <c r="B439" t="s">
        <v>2580</v>
      </c>
      <c r="C439" t="s">
        <v>14</v>
      </c>
    </row>
    <row r="440" spans="1:3" x14ac:dyDescent="0.2">
      <c r="A440" t="s">
        <v>2578</v>
      </c>
      <c r="C440" t="s">
        <v>38</v>
      </c>
    </row>
    <row r="441" spans="1:3" x14ac:dyDescent="0.2">
      <c r="A441" t="s">
        <v>2576</v>
      </c>
      <c r="B441" t="s">
        <v>2577</v>
      </c>
      <c r="C441" t="s">
        <v>17</v>
      </c>
    </row>
    <row r="442" spans="1:3" x14ac:dyDescent="0.2">
      <c r="A442" t="s">
        <v>2574</v>
      </c>
      <c r="B442" t="s">
        <v>2575</v>
      </c>
      <c r="C442" t="s">
        <v>14</v>
      </c>
    </row>
    <row r="443" spans="1:3" x14ac:dyDescent="0.2">
      <c r="A443" t="s">
        <v>2572</v>
      </c>
      <c r="B443" t="s">
        <v>2573</v>
      </c>
      <c r="C443" t="s">
        <v>45</v>
      </c>
    </row>
    <row r="444" spans="1:3" x14ac:dyDescent="0.2">
      <c r="A444" t="s">
        <v>2570</v>
      </c>
      <c r="B444" t="s">
        <v>2571</v>
      </c>
      <c r="C444" t="s">
        <v>17</v>
      </c>
    </row>
    <row r="445" spans="1:3" x14ac:dyDescent="0.2">
      <c r="A445" t="s">
        <v>2568</v>
      </c>
      <c r="B445" t="s">
        <v>2569</v>
      </c>
      <c r="C445" t="s">
        <v>17</v>
      </c>
    </row>
    <row r="446" spans="1:3" x14ac:dyDescent="0.2">
      <c r="A446" t="s">
        <v>2566</v>
      </c>
      <c r="B446" t="s">
        <v>2567</v>
      </c>
      <c r="C446" t="s">
        <v>14</v>
      </c>
    </row>
    <row r="447" spans="1:3" x14ac:dyDescent="0.2">
      <c r="A447" t="s">
        <v>2564</v>
      </c>
      <c r="B447" t="s">
        <v>2565</v>
      </c>
      <c r="C447" t="s">
        <v>14</v>
      </c>
    </row>
    <row r="448" spans="1:3" x14ac:dyDescent="0.2">
      <c r="A448" t="s">
        <v>2562</v>
      </c>
      <c r="B448" t="s">
        <v>2563</v>
      </c>
      <c r="C448" t="s">
        <v>14</v>
      </c>
    </row>
    <row r="449" spans="1:3" x14ac:dyDescent="0.2">
      <c r="A449" t="s">
        <v>2560</v>
      </c>
      <c r="B449" t="s">
        <v>2561</v>
      </c>
      <c r="C449" t="s">
        <v>38</v>
      </c>
    </row>
    <row r="450" spans="1:3" x14ac:dyDescent="0.2">
      <c r="A450" t="s">
        <v>2558</v>
      </c>
      <c r="B450" t="s">
        <v>2559</v>
      </c>
      <c r="C450" t="s">
        <v>45</v>
      </c>
    </row>
    <row r="451" spans="1:3" x14ac:dyDescent="0.2">
      <c r="A451" t="s">
        <v>2556</v>
      </c>
      <c r="B451" t="s">
        <v>2557</v>
      </c>
      <c r="C451" t="s">
        <v>45</v>
      </c>
    </row>
    <row r="452" spans="1:3" x14ac:dyDescent="0.2">
      <c r="A452" t="s">
        <v>2554</v>
      </c>
      <c r="B452" t="s">
        <v>2555</v>
      </c>
      <c r="C452" t="s">
        <v>14</v>
      </c>
    </row>
    <row r="453" spans="1:3" x14ac:dyDescent="0.2">
      <c r="A453" t="s">
        <v>2552</v>
      </c>
      <c r="B453" t="s">
        <v>2553</v>
      </c>
      <c r="C453" t="s">
        <v>14</v>
      </c>
    </row>
    <row r="454" spans="1:3" x14ac:dyDescent="0.2">
      <c r="A454" t="s">
        <v>2550</v>
      </c>
      <c r="B454" t="s">
        <v>2551</v>
      </c>
      <c r="C454" t="s">
        <v>14</v>
      </c>
    </row>
    <row r="455" spans="1:3" x14ac:dyDescent="0.2">
      <c r="A455" t="s">
        <v>2548</v>
      </c>
      <c r="B455" t="s">
        <v>2549</v>
      </c>
      <c r="C455" t="s">
        <v>17</v>
      </c>
    </row>
    <row r="456" spans="1:3" x14ac:dyDescent="0.2">
      <c r="A456" t="s">
        <v>2546</v>
      </c>
      <c r="B456" t="s">
        <v>2547</v>
      </c>
      <c r="C456" t="s">
        <v>14</v>
      </c>
    </row>
    <row r="457" spans="1:3" x14ac:dyDescent="0.2">
      <c r="A457" t="s">
        <v>2544</v>
      </c>
      <c r="B457" t="s">
        <v>2545</v>
      </c>
      <c r="C457" t="s">
        <v>45</v>
      </c>
    </row>
    <row r="458" spans="1:3" x14ac:dyDescent="0.2">
      <c r="A458" t="s">
        <v>2542</v>
      </c>
      <c r="B458" t="s">
        <v>2543</v>
      </c>
      <c r="C458" t="s">
        <v>14</v>
      </c>
    </row>
    <row r="459" spans="1:3" x14ac:dyDescent="0.2">
      <c r="A459" t="s">
        <v>2540</v>
      </c>
      <c r="B459" t="s">
        <v>2541</v>
      </c>
      <c r="C459" t="s">
        <v>17</v>
      </c>
    </row>
    <row r="460" spans="1:3" x14ac:dyDescent="0.2">
      <c r="A460" t="s">
        <v>2538</v>
      </c>
      <c r="B460" t="s">
        <v>2539</v>
      </c>
      <c r="C460" t="s">
        <v>38</v>
      </c>
    </row>
    <row r="461" spans="1:3" x14ac:dyDescent="0.2">
      <c r="A461" t="s">
        <v>2536</v>
      </c>
      <c r="B461" t="s">
        <v>2537</v>
      </c>
      <c r="C461" t="s">
        <v>14</v>
      </c>
    </row>
    <row r="462" spans="1:3" x14ac:dyDescent="0.2">
      <c r="A462" t="s">
        <v>2534</v>
      </c>
      <c r="B462" t="s">
        <v>2535</v>
      </c>
      <c r="C462" t="s">
        <v>14</v>
      </c>
    </row>
    <row r="463" spans="1:3" x14ac:dyDescent="0.2">
      <c r="A463" t="s">
        <v>2532</v>
      </c>
      <c r="B463" t="s">
        <v>2533</v>
      </c>
      <c r="C463" t="s">
        <v>14</v>
      </c>
    </row>
    <row r="464" spans="1:3" x14ac:dyDescent="0.2">
      <c r="A464" t="s">
        <v>2530</v>
      </c>
      <c r="B464" t="s">
        <v>2531</v>
      </c>
      <c r="C464" t="s">
        <v>38</v>
      </c>
    </row>
    <row r="465" spans="1:3" x14ac:dyDescent="0.2">
      <c r="A465" t="s">
        <v>2528</v>
      </c>
      <c r="B465" t="s">
        <v>2529</v>
      </c>
      <c r="C465" t="s">
        <v>38</v>
      </c>
    </row>
    <row r="466" spans="1:3" x14ac:dyDescent="0.2">
      <c r="A466" t="s">
        <v>2526</v>
      </c>
      <c r="B466" t="s">
        <v>2527</v>
      </c>
      <c r="C466" t="s">
        <v>17</v>
      </c>
    </row>
    <row r="467" spans="1:3" x14ac:dyDescent="0.2">
      <c r="A467" t="s">
        <v>2524</v>
      </c>
      <c r="B467" t="s">
        <v>2525</v>
      </c>
      <c r="C467" t="s">
        <v>17</v>
      </c>
    </row>
    <row r="468" spans="1:3" x14ac:dyDescent="0.2">
      <c r="A468" t="s">
        <v>2522</v>
      </c>
      <c r="B468" t="s">
        <v>2523</v>
      </c>
      <c r="C468" t="s">
        <v>17</v>
      </c>
    </row>
    <row r="469" spans="1:3" x14ac:dyDescent="0.2">
      <c r="A469" t="s">
        <v>2520</v>
      </c>
      <c r="B469" t="s">
        <v>2521</v>
      </c>
      <c r="C469" t="s">
        <v>45</v>
      </c>
    </row>
    <row r="470" spans="1:3" x14ac:dyDescent="0.2">
      <c r="A470" t="s">
        <v>2518</v>
      </c>
      <c r="B470" t="s">
        <v>2519</v>
      </c>
      <c r="C470" t="s">
        <v>14</v>
      </c>
    </row>
    <row r="471" spans="1:3" x14ac:dyDescent="0.2">
      <c r="A471" t="s">
        <v>2516</v>
      </c>
      <c r="B471" t="s">
        <v>2517</v>
      </c>
      <c r="C471" t="s">
        <v>14</v>
      </c>
    </row>
    <row r="472" spans="1:3" x14ac:dyDescent="0.2">
      <c r="A472" t="s">
        <v>2514</v>
      </c>
      <c r="B472" t="s">
        <v>2515</v>
      </c>
      <c r="C472" t="s">
        <v>14</v>
      </c>
    </row>
    <row r="473" spans="1:3" x14ac:dyDescent="0.2">
      <c r="A473" t="s">
        <v>2512</v>
      </c>
      <c r="B473" t="s">
        <v>2513</v>
      </c>
      <c r="C473" t="s">
        <v>14</v>
      </c>
    </row>
    <row r="474" spans="1:3" x14ac:dyDescent="0.2">
      <c r="A474" t="s">
        <v>2510</v>
      </c>
      <c r="B474" t="s">
        <v>2511</v>
      </c>
      <c r="C474" t="s">
        <v>17</v>
      </c>
    </row>
    <row r="475" spans="1:3" x14ac:dyDescent="0.2">
      <c r="A475" t="s">
        <v>2508</v>
      </c>
      <c r="B475" t="s">
        <v>2509</v>
      </c>
      <c r="C475" t="s">
        <v>17</v>
      </c>
    </row>
    <row r="476" spans="1:3" x14ac:dyDescent="0.2">
      <c r="A476" t="s">
        <v>2506</v>
      </c>
      <c r="B476" t="s">
        <v>2507</v>
      </c>
      <c r="C476" t="s">
        <v>14</v>
      </c>
    </row>
    <row r="477" spans="1:3" x14ac:dyDescent="0.2">
      <c r="A477" t="s">
        <v>2504</v>
      </c>
      <c r="B477" t="s">
        <v>2505</v>
      </c>
      <c r="C477" t="s">
        <v>17</v>
      </c>
    </row>
    <row r="478" spans="1:3" x14ac:dyDescent="0.2">
      <c r="A478" t="s">
        <v>2502</v>
      </c>
      <c r="B478" t="s">
        <v>2503</v>
      </c>
      <c r="C478" t="s">
        <v>38</v>
      </c>
    </row>
    <row r="479" spans="1:3" x14ac:dyDescent="0.2">
      <c r="A479" t="s">
        <v>2500</v>
      </c>
      <c r="B479" t="s">
        <v>2501</v>
      </c>
      <c r="C479" t="s">
        <v>14</v>
      </c>
    </row>
    <row r="480" spans="1:3" x14ac:dyDescent="0.2">
      <c r="A480" t="s">
        <v>2498</v>
      </c>
      <c r="B480" t="s">
        <v>2499</v>
      </c>
      <c r="C480" t="s">
        <v>14</v>
      </c>
    </row>
    <row r="481" spans="1:3" x14ac:dyDescent="0.2">
      <c r="A481" t="s">
        <v>2496</v>
      </c>
      <c r="B481" t="s">
        <v>2497</v>
      </c>
      <c r="C481" t="s">
        <v>14</v>
      </c>
    </row>
    <row r="482" spans="1:3" x14ac:dyDescent="0.2">
      <c r="A482" t="s">
        <v>2494</v>
      </c>
      <c r="B482" t="s">
        <v>2495</v>
      </c>
      <c r="C482" t="s">
        <v>14</v>
      </c>
    </row>
    <row r="483" spans="1:3" x14ac:dyDescent="0.2">
      <c r="A483" t="s">
        <v>2492</v>
      </c>
      <c r="B483" t="s">
        <v>2493</v>
      </c>
      <c r="C483" t="s">
        <v>45</v>
      </c>
    </row>
    <row r="484" spans="1:3" x14ac:dyDescent="0.2">
      <c r="A484" t="s">
        <v>2490</v>
      </c>
      <c r="B484" t="s">
        <v>2491</v>
      </c>
      <c r="C484" t="s">
        <v>17</v>
      </c>
    </row>
    <row r="485" spans="1:3" x14ac:dyDescent="0.2">
      <c r="A485" t="s">
        <v>2488</v>
      </c>
      <c r="B485" t="s">
        <v>2489</v>
      </c>
      <c r="C485" t="s">
        <v>17</v>
      </c>
    </row>
    <row r="486" spans="1:3" x14ac:dyDescent="0.2">
      <c r="A486" t="s">
        <v>2486</v>
      </c>
      <c r="B486" t="s">
        <v>2487</v>
      </c>
      <c r="C486" t="s">
        <v>38</v>
      </c>
    </row>
    <row r="487" spans="1:3" x14ac:dyDescent="0.2">
      <c r="A487" t="s">
        <v>2484</v>
      </c>
      <c r="B487" t="s">
        <v>2485</v>
      </c>
      <c r="C487" t="s">
        <v>17</v>
      </c>
    </row>
    <row r="488" spans="1:3" x14ac:dyDescent="0.2">
      <c r="A488" t="s">
        <v>2482</v>
      </c>
      <c r="B488" t="s">
        <v>2483</v>
      </c>
      <c r="C488" t="s">
        <v>14</v>
      </c>
    </row>
    <row r="489" spans="1:3" x14ac:dyDescent="0.2">
      <c r="A489" t="s">
        <v>2480</v>
      </c>
      <c r="B489" t="s">
        <v>2481</v>
      </c>
      <c r="C489" t="s">
        <v>14</v>
      </c>
    </row>
    <row r="490" spans="1:3" x14ac:dyDescent="0.2">
      <c r="A490" t="s">
        <v>2478</v>
      </c>
      <c r="B490" t="s">
        <v>2479</v>
      </c>
      <c r="C490" t="s">
        <v>17</v>
      </c>
    </row>
    <row r="491" spans="1:3" x14ac:dyDescent="0.2">
      <c r="A491" t="s">
        <v>2476</v>
      </c>
      <c r="B491" t="s">
        <v>2477</v>
      </c>
      <c r="C491" t="s">
        <v>14</v>
      </c>
    </row>
    <row r="492" spans="1:3" x14ac:dyDescent="0.2">
      <c r="A492" t="s">
        <v>2474</v>
      </c>
      <c r="B492" t="s">
        <v>2475</v>
      </c>
      <c r="C492" t="s">
        <v>14</v>
      </c>
    </row>
    <row r="493" spans="1:3" x14ac:dyDescent="0.2">
      <c r="A493" t="s">
        <v>2472</v>
      </c>
      <c r="B493" t="s">
        <v>2473</v>
      </c>
      <c r="C493" t="s">
        <v>17</v>
      </c>
    </row>
    <row r="494" spans="1:3" x14ac:dyDescent="0.2">
      <c r="A494" t="s">
        <v>2470</v>
      </c>
      <c r="B494" t="s">
        <v>2471</v>
      </c>
      <c r="C494" t="s">
        <v>14</v>
      </c>
    </row>
    <row r="495" spans="1:3" x14ac:dyDescent="0.2">
      <c r="A495" t="s">
        <v>2468</v>
      </c>
      <c r="B495" t="s">
        <v>2469</v>
      </c>
      <c r="C495" t="s">
        <v>14</v>
      </c>
    </row>
    <row r="496" spans="1:3" x14ac:dyDescent="0.2">
      <c r="A496" t="s">
        <v>2466</v>
      </c>
      <c r="B496" t="s">
        <v>2467</v>
      </c>
      <c r="C496" t="s">
        <v>14</v>
      </c>
    </row>
    <row r="497" spans="1:3" x14ac:dyDescent="0.2">
      <c r="A497" t="s">
        <v>2464</v>
      </c>
      <c r="B497" t="s">
        <v>2465</v>
      </c>
      <c r="C497" t="s">
        <v>14</v>
      </c>
    </row>
    <row r="498" spans="1:3" x14ac:dyDescent="0.2">
      <c r="A498" t="s">
        <v>2462</v>
      </c>
      <c r="B498" t="s">
        <v>2463</v>
      </c>
      <c r="C498" t="s">
        <v>17</v>
      </c>
    </row>
    <row r="499" spans="1:3" x14ac:dyDescent="0.2">
      <c r="A499" t="s">
        <v>2460</v>
      </c>
      <c r="B499" t="s">
        <v>2461</v>
      </c>
      <c r="C499" t="s">
        <v>14</v>
      </c>
    </row>
    <row r="500" spans="1:3" x14ac:dyDescent="0.2">
      <c r="A500" t="s">
        <v>2458</v>
      </c>
      <c r="B500" t="s">
        <v>2459</v>
      </c>
      <c r="C500" t="s">
        <v>14</v>
      </c>
    </row>
    <row r="501" spans="1:3" x14ac:dyDescent="0.2">
      <c r="A501" t="s">
        <v>2456</v>
      </c>
      <c r="B501" t="s">
        <v>2457</v>
      </c>
      <c r="C501" t="s">
        <v>38</v>
      </c>
    </row>
    <row r="502" spans="1:3" x14ac:dyDescent="0.2">
      <c r="A502" t="s">
        <v>2454</v>
      </c>
      <c r="B502" t="s">
        <v>2455</v>
      </c>
      <c r="C502" t="s">
        <v>17</v>
      </c>
    </row>
    <row r="503" spans="1:3" x14ac:dyDescent="0.2">
      <c r="A503" t="s">
        <v>2452</v>
      </c>
      <c r="B503" t="s">
        <v>2453</v>
      </c>
      <c r="C503" t="s">
        <v>14</v>
      </c>
    </row>
    <row r="504" spans="1:3" x14ac:dyDescent="0.2">
      <c r="A504" t="s">
        <v>2450</v>
      </c>
      <c r="B504" t="s">
        <v>2451</v>
      </c>
      <c r="C504" t="s">
        <v>14</v>
      </c>
    </row>
    <row r="505" spans="1:3" x14ac:dyDescent="0.2">
      <c r="A505" t="s">
        <v>2448</v>
      </c>
      <c r="B505" t="s">
        <v>2449</v>
      </c>
      <c r="C505" t="s">
        <v>14</v>
      </c>
    </row>
    <row r="506" spans="1:3" x14ac:dyDescent="0.2">
      <c r="A506" t="s">
        <v>2446</v>
      </c>
      <c r="B506" t="s">
        <v>2447</v>
      </c>
      <c r="C506" t="s">
        <v>17</v>
      </c>
    </row>
    <row r="507" spans="1:3" x14ac:dyDescent="0.2">
      <c r="A507" t="s">
        <v>2444</v>
      </c>
      <c r="B507" t="s">
        <v>2445</v>
      </c>
      <c r="C507" t="s">
        <v>45</v>
      </c>
    </row>
    <row r="508" spans="1:3" x14ac:dyDescent="0.2">
      <c r="A508" t="s">
        <v>2442</v>
      </c>
      <c r="B508" t="s">
        <v>2443</v>
      </c>
      <c r="C508" t="s">
        <v>38</v>
      </c>
    </row>
    <row r="509" spans="1:3" x14ac:dyDescent="0.2">
      <c r="A509" t="s">
        <v>2440</v>
      </c>
      <c r="B509" t="s">
        <v>2441</v>
      </c>
      <c r="C509" t="s">
        <v>17</v>
      </c>
    </row>
    <row r="510" spans="1:3" x14ac:dyDescent="0.2">
      <c r="A510" t="s">
        <v>2438</v>
      </c>
      <c r="B510" t="s">
        <v>2439</v>
      </c>
      <c r="C510" t="s">
        <v>17</v>
      </c>
    </row>
    <row r="511" spans="1:3" x14ac:dyDescent="0.2">
      <c r="A511" t="s">
        <v>2436</v>
      </c>
      <c r="B511" t="s">
        <v>2437</v>
      </c>
      <c r="C511" t="s">
        <v>14</v>
      </c>
    </row>
    <row r="512" spans="1:3" x14ac:dyDescent="0.2">
      <c r="A512" t="s">
        <v>2434</v>
      </c>
      <c r="B512" t="s">
        <v>2435</v>
      </c>
      <c r="C512" t="s">
        <v>17</v>
      </c>
    </row>
    <row r="513" spans="1:3" x14ac:dyDescent="0.2">
      <c r="A513" t="s">
        <v>2432</v>
      </c>
      <c r="B513" t="s">
        <v>2433</v>
      </c>
      <c r="C513" t="s">
        <v>14</v>
      </c>
    </row>
    <row r="514" spans="1:3" x14ac:dyDescent="0.2">
      <c r="A514" t="s">
        <v>2430</v>
      </c>
      <c r="B514" t="s">
        <v>2431</v>
      </c>
      <c r="C514" t="s">
        <v>14</v>
      </c>
    </row>
    <row r="515" spans="1:3" x14ac:dyDescent="0.2">
      <c r="A515" t="s">
        <v>2428</v>
      </c>
      <c r="B515" t="s">
        <v>2429</v>
      </c>
      <c r="C515" t="s">
        <v>14</v>
      </c>
    </row>
    <row r="516" spans="1:3" x14ac:dyDescent="0.2">
      <c r="A516" t="s">
        <v>2426</v>
      </c>
      <c r="B516" t="s">
        <v>2427</v>
      </c>
      <c r="C516" t="s">
        <v>45</v>
      </c>
    </row>
    <row r="517" spans="1:3" x14ac:dyDescent="0.2">
      <c r="A517" t="s">
        <v>2424</v>
      </c>
      <c r="B517" t="s">
        <v>2425</v>
      </c>
      <c r="C517" t="s">
        <v>17</v>
      </c>
    </row>
    <row r="518" spans="1:3" x14ac:dyDescent="0.2">
      <c r="A518" t="s">
        <v>2422</v>
      </c>
      <c r="B518" t="s">
        <v>2423</v>
      </c>
      <c r="C518" t="s">
        <v>45</v>
      </c>
    </row>
    <row r="519" spans="1:3" x14ac:dyDescent="0.2">
      <c r="A519" t="s">
        <v>2420</v>
      </c>
      <c r="B519" t="s">
        <v>2421</v>
      </c>
      <c r="C519" t="s">
        <v>14</v>
      </c>
    </row>
    <row r="520" spans="1:3" x14ac:dyDescent="0.2">
      <c r="A520" t="s">
        <v>2418</v>
      </c>
      <c r="B520" t="s">
        <v>2419</v>
      </c>
      <c r="C520" t="s">
        <v>45</v>
      </c>
    </row>
    <row r="521" spans="1:3" x14ac:dyDescent="0.2">
      <c r="A521" t="s">
        <v>2416</v>
      </c>
      <c r="B521" t="s">
        <v>2417</v>
      </c>
      <c r="C521" t="s">
        <v>14</v>
      </c>
    </row>
    <row r="522" spans="1:3" x14ac:dyDescent="0.2">
      <c r="A522" t="s">
        <v>2414</v>
      </c>
      <c r="B522" t="s">
        <v>2415</v>
      </c>
      <c r="C522" t="s">
        <v>45</v>
      </c>
    </row>
    <row r="523" spans="1:3" x14ac:dyDescent="0.2">
      <c r="A523" t="s">
        <v>2412</v>
      </c>
      <c r="B523" t="s">
        <v>2413</v>
      </c>
      <c r="C523" t="s">
        <v>14</v>
      </c>
    </row>
    <row r="524" spans="1:3" x14ac:dyDescent="0.2">
      <c r="A524" t="s">
        <v>2410</v>
      </c>
      <c r="B524" t="s">
        <v>2411</v>
      </c>
      <c r="C524" t="s">
        <v>17</v>
      </c>
    </row>
    <row r="525" spans="1:3" x14ac:dyDescent="0.2">
      <c r="A525" t="s">
        <v>2408</v>
      </c>
      <c r="B525" t="s">
        <v>2409</v>
      </c>
      <c r="C525" t="s">
        <v>17</v>
      </c>
    </row>
    <row r="526" spans="1:3" x14ac:dyDescent="0.2">
      <c r="A526" t="s">
        <v>2406</v>
      </c>
      <c r="B526" t="s">
        <v>2407</v>
      </c>
      <c r="C526" t="s">
        <v>45</v>
      </c>
    </row>
    <row r="527" spans="1:3" x14ac:dyDescent="0.2">
      <c r="A527" t="s">
        <v>2404</v>
      </c>
      <c r="B527" t="s">
        <v>2405</v>
      </c>
      <c r="C527" t="s">
        <v>14</v>
      </c>
    </row>
    <row r="528" spans="1:3" x14ac:dyDescent="0.2">
      <c r="A528" t="s">
        <v>2402</v>
      </c>
      <c r="B528" t="s">
        <v>2403</v>
      </c>
      <c r="C528" t="s">
        <v>14</v>
      </c>
    </row>
    <row r="529" spans="1:3" x14ac:dyDescent="0.2">
      <c r="A529" t="s">
        <v>2401</v>
      </c>
      <c r="C529" t="s">
        <v>38</v>
      </c>
    </row>
    <row r="530" spans="1:3" x14ac:dyDescent="0.2">
      <c r="A530" t="s">
        <v>2399</v>
      </c>
      <c r="B530" t="s">
        <v>2400</v>
      </c>
      <c r="C530" t="s">
        <v>14</v>
      </c>
    </row>
    <row r="531" spans="1:3" x14ac:dyDescent="0.2">
      <c r="A531" t="s">
        <v>2397</v>
      </c>
      <c r="B531" t="s">
        <v>2398</v>
      </c>
      <c r="C531" t="s">
        <v>17</v>
      </c>
    </row>
    <row r="532" spans="1:3" x14ac:dyDescent="0.2">
      <c r="A532" t="s">
        <v>2395</v>
      </c>
      <c r="B532" t="s">
        <v>2396</v>
      </c>
      <c r="C532" t="s">
        <v>17</v>
      </c>
    </row>
    <row r="533" spans="1:3" x14ac:dyDescent="0.2">
      <c r="A533" t="s">
        <v>2393</v>
      </c>
      <c r="B533" t="s">
        <v>2394</v>
      </c>
      <c r="C533" t="s">
        <v>14</v>
      </c>
    </row>
    <row r="534" spans="1:3" x14ac:dyDescent="0.2">
      <c r="A534" t="s">
        <v>2391</v>
      </c>
      <c r="B534" t="s">
        <v>2392</v>
      </c>
      <c r="C534" t="s">
        <v>38</v>
      </c>
    </row>
    <row r="535" spans="1:3" x14ac:dyDescent="0.2">
      <c r="A535" t="s">
        <v>2390</v>
      </c>
      <c r="C535" t="s">
        <v>38</v>
      </c>
    </row>
    <row r="536" spans="1:3" x14ac:dyDescent="0.2">
      <c r="A536" t="s">
        <v>2388</v>
      </c>
      <c r="B536" t="s">
        <v>2389</v>
      </c>
      <c r="C536" t="s">
        <v>14</v>
      </c>
    </row>
    <row r="537" spans="1:3" x14ac:dyDescent="0.2">
      <c r="A537" t="s">
        <v>2386</v>
      </c>
      <c r="B537" t="s">
        <v>2387</v>
      </c>
      <c r="C537" t="s">
        <v>14</v>
      </c>
    </row>
    <row r="538" spans="1:3" x14ac:dyDescent="0.2">
      <c r="A538" t="s">
        <v>2384</v>
      </c>
      <c r="B538" t="s">
        <v>2385</v>
      </c>
      <c r="C538" t="s">
        <v>17</v>
      </c>
    </row>
    <row r="539" spans="1:3" x14ac:dyDescent="0.2">
      <c r="A539" t="s">
        <v>2382</v>
      </c>
      <c r="B539" t="s">
        <v>2383</v>
      </c>
      <c r="C539" t="s">
        <v>14</v>
      </c>
    </row>
    <row r="540" spans="1:3" x14ac:dyDescent="0.2">
      <c r="A540" t="s">
        <v>2380</v>
      </c>
      <c r="B540" t="s">
        <v>2381</v>
      </c>
      <c r="C540" t="s">
        <v>14</v>
      </c>
    </row>
    <row r="541" spans="1:3" x14ac:dyDescent="0.2">
      <c r="A541" t="s">
        <v>2379</v>
      </c>
      <c r="C541" t="s">
        <v>38</v>
      </c>
    </row>
    <row r="542" spans="1:3" x14ac:dyDescent="0.2">
      <c r="A542" t="s">
        <v>2377</v>
      </c>
      <c r="B542" t="s">
        <v>2378</v>
      </c>
      <c r="C542" t="s">
        <v>14</v>
      </c>
    </row>
    <row r="543" spans="1:3" x14ac:dyDescent="0.2">
      <c r="A543" t="s">
        <v>2375</v>
      </c>
      <c r="B543" t="s">
        <v>2376</v>
      </c>
      <c r="C543" t="s">
        <v>45</v>
      </c>
    </row>
    <row r="544" spans="1:3" x14ac:dyDescent="0.2">
      <c r="A544" t="s">
        <v>2373</v>
      </c>
      <c r="B544" t="s">
        <v>2374</v>
      </c>
      <c r="C544" t="s">
        <v>14</v>
      </c>
    </row>
    <row r="545" spans="1:3" x14ac:dyDescent="0.2">
      <c r="A545" t="s">
        <v>2371</v>
      </c>
      <c r="B545" t="s">
        <v>2372</v>
      </c>
      <c r="C545" t="s">
        <v>17</v>
      </c>
    </row>
    <row r="546" spans="1:3" x14ac:dyDescent="0.2">
      <c r="A546" t="s">
        <v>2369</v>
      </c>
      <c r="B546" t="s">
        <v>2370</v>
      </c>
      <c r="C546" t="s">
        <v>17</v>
      </c>
    </row>
    <row r="547" spans="1:3" x14ac:dyDescent="0.2">
      <c r="A547" t="s">
        <v>2367</v>
      </c>
      <c r="B547" t="s">
        <v>2368</v>
      </c>
      <c r="C547" t="s">
        <v>38</v>
      </c>
    </row>
    <row r="548" spans="1:3" x14ac:dyDescent="0.2">
      <c r="A548" t="s">
        <v>2365</v>
      </c>
      <c r="B548" t="s">
        <v>2366</v>
      </c>
      <c r="C548" t="s">
        <v>14</v>
      </c>
    </row>
    <row r="549" spans="1:3" x14ac:dyDescent="0.2">
      <c r="A549" t="s">
        <v>2363</v>
      </c>
      <c r="B549" t="s">
        <v>2364</v>
      </c>
      <c r="C549" t="s">
        <v>14</v>
      </c>
    </row>
    <row r="550" spans="1:3" x14ac:dyDescent="0.2">
      <c r="A550" t="s">
        <v>2361</v>
      </c>
      <c r="B550" t="s">
        <v>2362</v>
      </c>
      <c r="C550" t="s">
        <v>17</v>
      </c>
    </row>
    <row r="551" spans="1:3" x14ac:dyDescent="0.2">
      <c r="A551" t="s">
        <v>2359</v>
      </c>
      <c r="B551" t="s">
        <v>2360</v>
      </c>
      <c r="C551" t="s">
        <v>17</v>
      </c>
    </row>
    <row r="552" spans="1:3" x14ac:dyDescent="0.2">
      <c r="A552" t="s">
        <v>2357</v>
      </c>
      <c r="B552" t="s">
        <v>2358</v>
      </c>
      <c r="C552" t="s">
        <v>17</v>
      </c>
    </row>
    <row r="553" spans="1:3" x14ac:dyDescent="0.2">
      <c r="A553" t="s">
        <v>2355</v>
      </c>
      <c r="B553" t="s">
        <v>2356</v>
      </c>
      <c r="C553" t="s">
        <v>45</v>
      </c>
    </row>
    <row r="554" spans="1:3" x14ac:dyDescent="0.2">
      <c r="A554" t="s">
        <v>2353</v>
      </c>
      <c r="B554" t="s">
        <v>2354</v>
      </c>
      <c r="C554" t="s">
        <v>14</v>
      </c>
    </row>
    <row r="555" spans="1:3" x14ac:dyDescent="0.2">
      <c r="A555" t="s">
        <v>2352</v>
      </c>
      <c r="C555" t="s">
        <v>38</v>
      </c>
    </row>
    <row r="556" spans="1:3" x14ac:dyDescent="0.2">
      <c r="A556" t="s">
        <v>2350</v>
      </c>
      <c r="B556" t="s">
        <v>2351</v>
      </c>
      <c r="C556" t="s">
        <v>17</v>
      </c>
    </row>
    <row r="557" spans="1:3" x14ac:dyDescent="0.2">
      <c r="A557" t="s">
        <v>2348</v>
      </c>
      <c r="B557" t="s">
        <v>2349</v>
      </c>
      <c r="C557" t="s">
        <v>14</v>
      </c>
    </row>
    <row r="558" spans="1:3" x14ac:dyDescent="0.2">
      <c r="A558" t="s">
        <v>2346</v>
      </c>
      <c r="B558" t="s">
        <v>2347</v>
      </c>
      <c r="C558" t="s">
        <v>14</v>
      </c>
    </row>
    <row r="559" spans="1:3" x14ac:dyDescent="0.2">
      <c r="A559" t="s">
        <v>2344</v>
      </c>
      <c r="B559" t="s">
        <v>2345</v>
      </c>
      <c r="C559" t="s">
        <v>14</v>
      </c>
    </row>
    <row r="560" spans="1:3" x14ac:dyDescent="0.2">
      <c r="A560" t="s">
        <v>2342</v>
      </c>
      <c r="B560" t="s">
        <v>2343</v>
      </c>
      <c r="C560" t="s">
        <v>45</v>
      </c>
    </row>
    <row r="561" spans="1:3" x14ac:dyDescent="0.2">
      <c r="A561" t="s">
        <v>2340</v>
      </c>
      <c r="B561" t="s">
        <v>2341</v>
      </c>
      <c r="C561" t="s">
        <v>14</v>
      </c>
    </row>
    <row r="562" spans="1:3" x14ac:dyDescent="0.2">
      <c r="A562" t="s">
        <v>2338</v>
      </c>
      <c r="B562" t="s">
        <v>2339</v>
      </c>
      <c r="C562" t="s">
        <v>14</v>
      </c>
    </row>
    <row r="563" spans="1:3" x14ac:dyDescent="0.2">
      <c r="A563" t="s">
        <v>2336</v>
      </c>
      <c r="B563" t="s">
        <v>2337</v>
      </c>
      <c r="C563" t="s">
        <v>38</v>
      </c>
    </row>
    <row r="564" spans="1:3" x14ac:dyDescent="0.2">
      <c r="A564" t="s">
        <v>2334</v>
      </c>
      <c r="B564" t="s">
        <v>2335</v>
      </c>
      <c r="C564" t="s">
        <v>45</v>
      </c>
    </row>
    <row r="565" spans="1:3" x14ac:dyDescent="0.2">
      <c r="A565" t="s">
        <v>2332</v>
      </c>
      <c r="B565" t="s">
        <v>2333</v>
      </c>
      <c r="C565" t="s">
        <v>17</v>
      </c>
    </row>
    <row r="566" spans="1:3" x14ac:dyDescent="0.2">
      <c r="A566" t="s">
        <v>2330</v>
      </c>
      <c r="B566" t="s">
        <v>2331</v>
      </c>
      <c r="C566" t="s">
        <v>14</v>
      </c>
    </row>
    <row r="567" spans="1:3" x14ac:dyDescent="0.2">
      <c r="A567" t="s">
        <v>2328</v>
      </c>
      <c r="B567" t="s">
        <v>2329</v>
      </c>
      <c r="C567" t="s">
        <v>17</v>
      </c>
    </row>
    <row r="568" spans="1:3" x14ac:dyDescent="0.2">
      <c r="A568" t="s">
        <v>2326</v>
      </c>
      <c r="B568" t="s">
        <v>2327</v>
      </c>
      <c r="C568" t="s">
        <v>45</v>
      </c>
    </row>
    <row r="569" spans="1:3" x14ac:dyDescent="0.2">
      <c r="A569" t="s">
        <v>2324</v>
      </c>
      <c r="B569" t="s">
        <v>2325</v>
      </c>
      <c r="C569" t="s">
        <v>14</v>
      </c>
    </row>
    <row r="570" spans="1:3" x14ac:dyDescent="0.2">
      <c r="A570" t="s">
        <v>2322</v>
      </c>
      <c r="B570" t="s">
        <v>2323</v>
      </c>
      <c r="C570" t="s">
        <v>14</v>
      </c>
    </row>
    <row r="571" spans="1:3" x14ac:dyDescent="0.2">
      <c r="A571" t="s">
        <v>2320</v>
      </c>
      <c r="B571" t="s">
        <v>2321</v>
      </c>
      <c r="C571" t="s">
        <v>14</v>
      </c>
    </row>
    <row r="572" spans="1:3" x14ac:dyDescent="0.2">
      <c r="A572" t="s">
        <v>2318</v>
      </c>
      <c r="B572" t="s">
        <v>2319</v>
      </c>
      <c r="C572" t="s">
        <v>45</v>
      </c>
    </row>
    <row r="573" spans="1:3" x14ac:dyDescent="0.2">
      <c r="A573" t="s">
        <v>2316</v>
      </c>
      <c r="B573" t="s">
        <v>2317</v>
      </c>
      <c r="C573" t="s">
        <v>17</v>
      </c>
    </row>
    <row r="574" spans="1:3" x14ac:dyDescent="0.2">
      <c r="A574" t="s">
        <v>2314</v>
      </c>
      <c r="B574" t="s">
        <v>2315</v>
      </c>
      <c r="C574" t="s">
        <v>17</v>
      </c>
    </row>
    <row r="575" spans="1:3" x14ac:dyDescent="0.2">
      <c r="A575" t="s">
        <v>2312</v>
      </c>
      <c r="B575" t="s">
        <v>2313</v>
      </c>
      <c r="C575" t="s">
        <v>17</v>
      </c>
    </row>
    <row r="576" spans="1:3" x14ac:dyDescent="0.2">
      <c r="A576" t="s">
        <v>2310</v>
      </c>
      <c r="B576" t="s">
        <v>2311</v>
      </c>
      <c r="C576" t="s">
        <v>14</v>
      </c>
    </row>
    <row r="577" spans="1:3" x14ac:dyDescent="0.2">
      <c r="A577" t="s">
        <v>2308</v>
      </c>
      <c r="B577" t="s">
        <v>2309</v>
      </c>
      <c r="C577" t="s">
        <v>38</v>
      </c>
    </row>
    <row r="578" spans="1:3" x14ac:dyDescent="0.2">
      <c r="A578" t="s">
        <v>2306</v>
      </c>
      <c r="B578" t="s">
        <v>2307</v>
      </c>
      <c r="C578" t="s">
        <v>14</v>
      </c>
    </row>
    <row r="579" spans="1:3" x14ac:dyDescent="0.2">
      <c r="A579" t="s">
        <v>2304</v>
      </c>
      <c r="B579" t="s">
        <v>2305</v>
      </c>
      <c r="C579" t="s">
        <v>38</v>
      </c>
    </row>
    <row r="580" spans="1:3" x14ac:dyDescent="0.2">
      <c r="A580" t="s">
        <v>2302</v>
      </c>
      <c r="B580" t="s">
        <v>2303</v>
      </c>
      <c r="C580" t="s">
        <v>14</v>
      </c>
    </row>
    <row r="581" spans="1:3" x14ac:dyDescent="0.2">
      <c r="A581" t="s">
        <v>2300</v>
      </c>
      <c r="B581" t="s">
        <v>2301</v>
      </c>
      <c r="C581" t="s">
        <v>14</v>
      </c>
    </row>
    <row r="582" spans="1:3" x14ac:dyDescent="0.2">
      <c r="A582" t="s">
        <v>2298</v>
      </c>
      <c r="B582" t="s">
        <v>2299</v>
      </c>
      <c r="C582" t="s">
        <v>14</v>
      </c>
    </row>
    <row r="583" spans="1:3" x14ac:dyDescent="0.2">
      <c r="A583" t="s">
        <v>2296</v>
      </c>
      <c r="B583" t="s">
        <v>2297</v>
      </c>
      <c r="C583" t="s">
        <v>38</v>
      </c>
    </row>
    <row r="584" spans="1:3" x14ac:dyDescent="0.2">
      <c r="A584" t="s">
        <v>2294</v>
      </c>
      <c r="B584" t="s">
        <v>2295</v>
      </c>
      <c r="C584" t="s">
        <v>14</v>
      </c>
    </row>
    <row r="585" spans="1:3" x14ac:dyDescent="0.2">
      <c r="A585" t="s">
        <v>2292</v>
      </c>
      <c r="B585" t="s">
        <v>2293</v>
      </c>
      <c r="C585" t="s">
        <v>14</v>
      </c>
    </row>
    <row r="586" spans="1:3" x14ac:dyDescent="0.2">
      <c r="A586" t="s">
        <v>2290</v>
      </c>
      <c r="B586" t="s">
        <v>2291</v>
      </c>
      <c r="C586" t="s">
        <v>45</v>
      </c>
    </row>
    <row r="587" spans="1:3" x14ac:dyDescent="0.2">
      <c r="A587" t="s">
        <v>2288</v>
      </c>
      <c r="B587" t="s">
        <v>2289</v>
      </c>
      <c r="C587" t="s">
        <v>14</v>
      </c>
    </row>
    <row r="588" spans="1:3" x14ac:dyDescent="0.2">
      <c r="A588" t="s">
        <v>2286</v>
      </c>
      <c r="B588" t="s">
        <v>2287</v>
      </c>
      <c r="C588" t="s">
        <v>14</v>
      </c>
    </row>
    <row r="589" spans="1:3" x14ac:dyDescent="0.2">
      <c r="A589" t="s">
        <v>2284</v>
      </c>
      <c r="B589" t="s">
        <v>2285</v>
      </c>
      <c r="C589" t="s">
        <v>14</v>
      </c>
    </row>
    <row r="590" spans="1:3" x14ac:dyDescent="0.2">
      <c r="A590" t="s">
        <v>2283</v>
      </c>
      <c r="C590" t="s">
        <v>38</v>
      </c>
    </row>
    <row r="591" spans="1:3" x14ac:dyDescent="0.2">
      <c r="A591" t="s">
        <v>2282</v>
      </c>
      <c r="C591" t="s">
        <v>38</v>
      </c>
    </row>
    <row r="592" spans="1:3" x14ac:dyDescent="0.2">
      <c r="A592" t="s">
        <v>2280</v>
      </c>
      <c r="B592" t="s">
        <v>2281</v>
      </c>
      <c r="C592" t="s">
        <v>45</v>
      </c>
    </row>
    <row r="593" spans="1:3" x14ac:dyDescent="0.2">
      <c r="A593" t="s">
        <v>2279</v>
      </c>
      <c r="C593" t="s">
        <v>38</v>
      </c>
    </row>
    <row r="594" spans="1:3" x14ac:dyDescent="0.2">
      <c r="A594" t="s">
        <v>2277</v>
      </c>
      <c r="B594" t="s">
        <v>2278</v>
      </c>
      <c r="C594" t="s">
        <v>14</v>
      </c>
    </row>
    <row r="595" spans="1:3" x14ac:dyDescent="0.2">
      <c r="A595" t="s">
        <v>2275</v>
      </c>
      <c r="B595" t="s">
        <v>2276</v>
      </c>
      <c r="C595" t="s">
        <v>38</v>
      </c>
    </row>
    <row r="596" spans="1:3" x14ac:dyDescent="0.2">
      <c r="A596" t="s">
        <v>2273</v>
      </c>
      <c r="B596" t="s">
        <v>2274</v>
      </c>
      <c r="C596" t="s">
        <v>14</v>
      </c>
    </row>
    <row r="597" spans="1:3" x14ac:dyDescent="0.2">
      <c r="A597" t="s">
        <v>2271</v>
      </c>
      <c r="B597" t="s">
        <v>2272</v>
      </c>
      <c r="C597" t="s">
        <v>45</v>
      </c>
    </row>
    <row r="598" spans="1:3" x14ac:dyDescent="0.2">
      <c r="A598" t="s">
        <v>2269</v>
      </c>
      <c r="B598" t="s">
        <v>2270</v>
      </c>
      <c r="C598" t="s">
        <v>14</v>
      </c>
    </row>
    <row r="599" spans="1:3" x14ac:dyDescent="0.2">
      <c r="A599" t="s">
        <v>2267</v>
      </c>
      <c r="B599" t="s">
        <v>2268</v>
      </c>
      <c r="C599" t="s">
        <v>14</v>
      </c>
    </row>
    <row r="600" spans="1:3" x14ac:dyDescent="0.2">
      <c r="A600" t="s">
        <v>2265</v>
      </c>
      <c r="B600" t="s">
        <v>2266</v>
      </c>
      <c r="C600" t="s">
        <v>17</v>
      </c>
    </row>
    <row r="601" spans="1:3" x14ac:dyDescent="0.2">
      <c r="A601" t="s">
        <v>2263</v>
      </c>
      <c r="B601" t="s">
        <v>2264</v>
      </c>
      <c r="C601" t="s">
        <v>38</v>
      </c>
    </row>
    <row r="602" spans="1:3" x14ac:dyDescent="0.2">
      <c r="A602" t="s">
        <v>2261</v>
      </c>
      <c r="B602" t="s">
        <v>2262</v>
      </c>
      <c r="C602" t="s">
        <v>17</v>
      </c>
    </row>
    <row r="603" spans="1:3" x14ac:dyDescent="0.2">
      <c r="A603" t="s">
        <v>2259</v>
      </c>
      <c r="B603" t="s">
        <v>2260</v>
      </c>
      <c r="C603" t="s">
        <v>17</v>
      </c>
    </row>
    <row r="604" spans="1:3" x14ac:dyDescent="0.2">
      <c r="A604" t="s">
        <v>2257</v>
      </c>
      <c r="B604" t="s">
        <v>2258</v>
      </c>
      <c r="C604" t="s">
        <v>17</v>
      </c>
    </row>
    <row r="605" spans="1:3" x14ac:dyDescent="0.2">
      <c r="A605" t="s">
        <v>2255</v>
      </c>
      <c r="B605" t="s">
        <v>2256</v>
      </c>
      <c r="C605" t="s">
        <v>38</v>
      </c>
    </row>
    <row r="606" spans="1:3" x14ac:dyDescent="0.2">
      <c r="A606" t="s">
        <v>2253</v>
      </c>
      <c r="B606" t="s">
        <v>2254</v>
      </c>
      <c r="C606" t="s">
        <v>17</v>
      </c>
    </row>
    <row r="607" spans="1:3" x14ac:dyDescent="0.2">
      <c r="A607" t="s">
        <v>2251</v>
      </c>
      <c r="B607" t="s">
        <v>2252</v>
      </c>
      <c r="C607" t="s">
        <v>14</v>
      </c>
    </row>
    <row r="608" spans="1:3" x14ac:dyDescent="0.2">
      <c r="A608" t="s">
        <v>2249</v>
      </c>
      <c r="B608" t="s">
        <v>2250</v>
      </c>
      <c r="C608" t="s">
        <v>14</v>
      </c>
    </row>
    <row r="609" spans="1:3" x14ac:dyDescent="0.2">
      <c r="A609" t="s">
        <v>2247</v>
      </c>
      <c r="B609" t="s">
        <v>2248</v>
      </c>
      <c r="C609" t="s">
        <v>45</v>
      </c>
    </row>
    <row r="610" spans="1:3" x14ac:dyDescent="0.2">
      <c r="A610" t="s">
        <v>2245</v>
      </c>
      <c r="B610" t="s">
        <v>2246</v>
      </c>
      <c r="C610" t="s">
        <v>14</v>
      </c>
    </row>
    <row r="611" spans="1:3" x14ac:dyDescent="0.2">
      <c r="A611" t="s">
        <v>2243</v>
      </c>
      <c r="B611" t="s">
        <v>2244</v>
      </c>
      <c r="C611" t="s">
        <v>38</v>
      </c>
    </row>
    <row r="612" spans="1:3" x14ac:dyDescent="0.2">
      <c r="A612" t="s">
        <v>2241</v>
      </c>
      <c r="B612" t="s">
        <v>2242</v>
      </c>
      <c r="C612" t="s">
        <v>45</v>
      </c>
    </row>
    <row r="613" spans="1:3" x14ac:dyDescent="0.2">
      <c r="A613" t="s">
        <v>2239</v>
      </c>
      <c r="B613" t="s">
        <v>2240</v>
      </c>
      <c r="C613" t="s">
        <v>14</v>
      </c>
    </row>
    <row r="614" spans="1:3" x14ac:dyDescent="0.2">
      <c r="A614" t="s">
        <v>2237</v>
      </c>
      <c r="B614" t="s">
        <v>2238</v>
      </c>
      <c r="C614" t="s">
        <v>14</v>
      </c>
    </row>
    <row r="615" spans="1:3" x14ac:dyDescent="0.2">
      <c r="A615" t="s">
        <v>2235</v>
      </c>
      <c r="B615" t="s">
        <v>2236</v>
      </c>
      <c r="C615" t="s">
        <v>45</v>
      </c>
    </row>
    <row r="616" spans="1:3" x14ac:dyDescent="0.2">
      <c r="A616" t="s">
        <v>2233</v>
      </c>
      <c r="B616" t="s">
        <v>2234</v>
      </c>
      <c r="C616" t="s">
        <v>45</v>
      </c>
    </row>
    <row r="617" spans="1:3" x14ac:dyDescent="0.2">
      <c r="A617" t="s">
        <v>2231</v>
      </c>
      <c r="B617" t="s">
        <v>2232</v>
      </c>
      <c r="C617" t="s">
        <v>38</v>
      </c>
    </row>
    <row r="618" spans="1:3" x14ac:dyDescent="0.2">
      <c r="A618" t="s">
        <v>2229</v>
      </c>
      <c r="B618" t="s">
        <v>2230</v>
      </c>
      <c r="C618" t="s">
        <v>38</v>
      </c>
    </row>
    <row r="619" spans="1:3" x14ac:dyDescent="0.2">
      <c r="A619" t="s">
        <v>2227</v>
      </c>
      <c r="B619" t="s">
        <v>2228</v>
      </c>
      <c r="C619" t="s">
        <v>14</v>
      </c>
    </row>
    <row r="620" spans="1:3" x14ac:dyDescent="0.2">
      <c r="A620" t="s">
        <v>2225</v>
      </c>
      <c r="B620" t="s">
        <v>2226</v>
      </c>
      <c r="C620" t="s">
        <v>38</v>
      </c>
    </row>
    <row r="621" spans="1:3" x14ac:dyDescent="0.2">
      <c r="A621" t="s">
        <v>2223</v>
      </c>
      <c r="B621" t="s">
        <v>2224</v>
      </c>
      <c r="C621" t="s">
        <v>14</v>
      </c>
    </row>
    <row r="622" spans="1:3" x14ac:dyDescent="0.2">
      <c r="A622" t="s">
        <v>2221</v>
      </c>
      <c r="B622" t="s">
        <v>2222</v>
      </c>
      <c r="C622" t="s">
        <v>14</v>
      </c>
    </row>
    <row r="623" spans="1:3" x14ac:dyDescent="0.2">
      <c r="A623" t="s">
        <v>2219</v>
      </c>
      <c r="B623" t="s">
        <v>2220</v>
      </c>
      <c r="C623" t="s">
        <v>14</v>
      </c>
    </row>
    <row r="624" spans="1:3" x14ac:dyDescent="0.2">
      <c r="A624" t="s">
        <v>2217</v>
      </c>
      <c r="B624" t="s">
        <v>2218</v>
      </c>
      <c r="C624" t="s">
        <v>17</v>
      </c>
    </row>
    <row r="625" spans="1:3" x14ac:dyDescent="0.2">
      <c r="A625" t="s">
        <v>2215</v>
      </c>
      <c r="B625" t="s">
        <v>2216</v>
      </c>
      <c r="C625" t="s">
        <v>14</v>
      </c>
    </row>
    <row r="626" spans="1:3" x14ac:dyDescent="0.2">
      <c r="A626" t="s">
        <v>2213</v>
      </c>
      <c r="B626" t="s">
        <v>2214</v>
      </c>
      <c r="C626" t="s">
        <v>14</v>
      </c>
    </row>
    <row r="627" spans="1:3" x14ac:dyDescent="0.2">
      <c r="A627" t="s">
        <v>2211</v>
      </c>
      <c r="B627" t="s">
        <v>2212</v>
      </c>
      <c r="C627" t="s">
        <v>45</v>
      </c>
    </row>
    <row r="628" spans="1:3" x14ac:dyDescent="0.2">
      <c r="A628" t="s">
        <v>2209</v>
      </c>
      <c r="B628" t="s">
        <v>2210</v>
      </c>
      <c r="C628" t="s">
        <v>45</v>
      </c>
    </row>
    <row r="629" spans="1:3" x14ac:dyDescent="0.2">
      <c r="A629" t="s">
        <v>2207</v>
      </c>
      <c r="B629" t="s">
        <v>2208</v>
      </c>
      <c r="C629" t="s">
        <v>14</v>
      </c>
    </row>
    <row r="630" spans="1:3" x14ac:dyDescent="0.2">
      <c r="A630" t="s">
        <v>2205</v>
      </c>
      <c r="B630" t="s">
        <v>2206</v>
      </c>
      <c r="C630" t="s">
        <v>17</v>
      </c>
    </row>
    <row r="631" spans="1:3" x14ac:dyDescent="0.2">
      <c r="A631" t="s">
        <v>2203</v>
      </c>
      <c r="B631" t="s">
        <v>2204</v>
      </c>
      <c r="C631" t="s">
        <v>14</v>
      </c>
    </row>
    <row r="632" spans="1:3" x14ac:dyDescent="0.2">
      <c r="A632" t="s">
        <v>2201</v>
      </c>
      <c r="B632" t="s">
        <v>2202</v>
      </c>
      <c r="C632" t="s">
        <v>14</v>
      </c>
    </row>
    <row r="633" spans="1:3" x14ac:dyDescent="0.2">
      <c r="A633" t="s">
        <v>2200</v>
      </c>
      <c r="C633" t="s">
        <v>38</v>
      </c>
    </row>
    <row r="634" spans="1:3" x14ac:dyDescent="0.2">
      <c r="A634" t="s">
        <v>2198</v>
      </c>
      <c r="B634" t="s">
        <v>2199</v>
      </c>
      <c r="C634" t="s">
        <v>14</v>
      </c>
    </row>
    <row r="635" spans="1:3" x14ac:dyDescent="0.2">
      <c r="A635" t="s">
        <v>2196</v>
      </c>
      <c r="B635" t="s">
        <v>2197</v>
      </c>
      <c r="C635" t="s">
        <v>14</v>
      </c>
    </row>
    <row r="636" spans="1:3" x14ac:dyDescent="0.2">
      <c r="A636" t="s">
        <v>2194</v>
      </c>
      <c r="B636" t="s">
        <v>2195</v>
      </c>
      <c r="C636" t="s">
        <v>14</v>
      </c>
    </row>
    <row r="637" spans="1:3" x14ac:dyDescent="0.2">
      <c r="A637" t="s">
        <v>2192</v>
      </c>
      <c r="B637" t="s">
        <v>2193</v>
      </c>
      <c r="C637" t="s">
        <v>14</v>
      </c>
    </row>
    <row r="638" spans="1:3" x14ac:dyDescent="0.2">
      <c r="A638" t="s">
        <v>2190</v>
      </c>
      <c r="B638" t="s">
        <v>2191</v>
      </c>
      <c r="C638" t="s">
        <v>14</v>
      </c>
    </row>
    <row r="639" spans="1:3" x14ac:dyDescent="0.2">
      <c r="A639" t="s">
        <v>2188</v>
      </c>
      <c r="B639" t="s">
        <v>2189</v>
      </c>
      <c r="C639" t="s">
        <v>14</v>
      </c>
    </row>
    <row r="640" spans="1:3" x14ac:dyDescent="0.2">
      <c r="A640" t="s">
        <v>2186</v>
      </c>
      <c r="B640" t="s">
        <v>2187</v>
      </c>
      <c r="C640" t="s">
        <v>38</v>
      </c>
    </row>
    <row r="641" spans="1:3" x14ac:dyDescent="0.2">
      <c r="A641" t="s">
        <v>2184</v>
      </c>
      <c r="B641" t="s">
        <v>2185</v>
      </c>
      <c r="C641" t="s">
        <v>45</v>
      </c>
    </row>
    <row r="642" spans="1:3" x14ac:dyDescent="0.2">
      <c r="A642" t="s">
        <v>2182</v>
      </c>
      <c r="B642" t="s">
        <v>2183</v>
      </c>
      <c r="C642" t="s">
        <v>14</v>
      </c>
    </row>
    <row r="643" spans="1:3" x14ac:dyDescent="0.2">
      <c r="A643" t="s">
        <v>2180</v>
      </c>
      <c r="B643" t="s">
        <v>2181</v>
      </c>
      <c r="C643" t="s">
        <v>14</v>
      </c>
    </row>
    <row r="644" spans="1:3" x14ac:dyDescent="0.2">
      <c r="A644" t="s">
        <v>2178</v>
      </c>
      <c r="B644" t="s">
        <v>2179</v>
      </c>
      <c r="C644" t="s">
        <v>14</v>
      </c>
    </row>
    <row r="645" spans="1:3" x14ac:dyDescent="0.2">
      <c r="A645" t="s">
        <v>9</v>
      </c>
      <c r="B645" t="s">
        <v>2177</v>
      </c>
      <c r="C645" t="s">
        <v>17</v>
      </c>
    </row>
    <row r="646" spans="1:3" x14ac:dyDescent="0.2">
      <c r="A646" t="s">
        <v>2175</v>
      </c>
      <c r="B646" t="s">
        <v>2176</v>
      </c>
      <c r="C646" t="s">
        <v>14</v>
      </c>
    </row>
    <row r="647" spans="1:3" x14ac:dyDescent="0.2">
      <c r="A647" t="s">
        <v>2173</v>
      </c>
      <c r="B647" t="s">
        <v>2174</v>
      </c>
      <c r="C647" t="s">
        <v>14</v>
      </c>
    </row>
    <row r="648" spans="1:3" x14ac:dyDescent="0.2">
      <c r="A648" t="s">
        <v>2171</v>
      </c>
      <c r="B648" t="s">
        <v>2172</v>
      </c>
      <c r="C648" t="s">
        <v>14</v>
      </c>
    </row>
    <row r="649" spans="1:3" x14ac:dyDescent="0.2">
      <c r="A649" t="s">
        <v>2169</v>
      </c>
      <c r="B649" t="s">
        <v>2170</v>
      </c>
      <c r="C649" t="s">
        <v>14</v>
      </c>
    </row>
    <row r="650" spans="1:3" x14ac:dyDescent="0.2">
      <c r="A650" t="s">
        <v>2167</v>
      </c>
      <c r="B650" t="s">
        <v>2168</v>
      </c>
      <c r="C650" t="s">
        <v>14</v>
      </c>
    </row>
    <row r="651" spans="1:3" x14ac:dyDescent="0.2">
      <c r="A651" t="s">
        <v>2165</v>
      </c>
      <c r="B651" t="s">
        <v>2166</v>
      </c>
      <c r="C651" t="s">
        <v>14</v>
      </c>
    </row>
    <row r="652" spans="1:3" x14ac:dyDescent="0.2">
      <c r="A652" t="s">
        <v>2163</v>
      </c>
      <c r="B652" t="s">
        <v>2164</v>
      </c>
      <c r="C652" t="s">
        <v>14</v>
      </c>
    </row>
    <row r="653" spans="1:3" x14ac:dyDescent="0.2">
      <c r="A653" t="s">
        <v>2161</v>
      </c>
      <c r="B653" t="s">
        <v>2162</v>
      </c>
      <c r="C653" t="s">
        <v>17</v>
      </c>
    </row>
    <row r="654" spans="1:3" x14ac:dyDescent="0.2">
      <c r="A654" t="s">
        <v>2159</v>
      </c>
      <c r="B654" t="s">
        <v>2160</v>
      </c>
      <c r="C654" t="s">
        <v>17</v>
      </c>
    </row>
    <row r="655" spans="1:3" x14ac:dyDescent="0.2">
      <c r="A655" t="s">
        <v>2157</v>
      </c>
      <c r="B655" t="s">
        <v>2158</v>
      </c>
      <c r="C655" t="s">
        <v>14</v>
      </c>
    </row>
    <row r="656" spans="1:3" x14ac:dyDescent="0.2">
      <c r="A656" t="s">
        <v>2155</v>
      </c>
      <c r="B656" t="s">
        <v>2156</v>
      </c>
      <c r="C656" t="s">
        <v>17</v>
      </c>
    </row>
    <row r="657" spans="1:3" x14ac:dyDescent="0.2">
      <c r="A657" t="s">
        <v>2153</v>
      </c>
      <c r="B657" t="s">
        <v>2154</v>
      </c>
      <c r="C657" t="s">
        <v>38</v>
      </c>
    </row>
    <row r="658" spans="1:3" x14ac:dyDescent="0.2">
      <c r="A658" t="s">
        <v>2151</v>
      </c>
      <c r="B658" t="s">
        <v>2152</v>
      </c>
      <c r="C658" t="s">
        <v>14</v>
      </c>
    </row>
    <row r="659" spans="1:3" x14ac:dyDescent="0.2">
      <c r="A659" t="s">
        <v>2149</v>
      </c>
      <c r="B659" t="s">
        <v>2150</v>
      </c>
      <c r="C659" t="s">
        <v>17</v>
      </c>
    </row>
    <row r="660" spans="1:3" x14ac:dyDescent="0.2">
      <c r="A660" t="s">
        <v>2147</v>
      </c>
      <c r="B660" t="s">
        <v>2148</v>
      </c>
      <c r="C660" t="s">
        <v>14</v>
      </c>
    </row>
    <row r="661" spans="1:3" x14ac:dyDescent="0.2">
      <c r="A661" t="s">
        <v>2145</v>
      </c>
      <c r="B661" t="s">
        <v>2146</v>
      </c>
      <c r="C661" t="s">
        <v>17</v>
      </c>
    </row>
    <row r="662" spans="1:3" x14ac:dyDescent="0.2">
      <c r="A662" t="s">
        <v>2143</v>
      </c>
      <c r="B662" t="s">
        <v>2144</v>
      </c>
      <c r="C662" t="s">
        <v>14</v>
      </c>
    </row>
    <row r="663" spans="1:3" x14ac:dyDescent="0.2">
      <c r="A663" t="s">
        <v>2141</v>
      </c>
      <c r="B663" t="s">
        <v>2142</v>
      </c>
      <c r="C663" t="s">
        <v>14</v>
      </c>
    </row>
    <row r="664" spans="1:3" x14ac:dyDescent="0.2">
      <c r="A664" t="s">
        <v>2139</v>
      </c>
      <c r="B664" t="s">
        <v>2140</v>
      </c>
      <c r="C664" t="s">
        <v>14</v>
      </c>
    </row>
    <row r="665" spans="1:3" x14ac:dyDescent="0.2">
      <c r="A665" t="s">
        <v>2137</v>
      </c>
      <c r="B665" t="s">
        <v>2138</v>
      </c>
      <c r="C665" t="s">
        <v>17</v>
      </c>
    </row>
    <row r="666" spans="1:3" x14ac:dyDescent="0.2">
      <c r="A666" t="s">
        <v>2135</v>
      </c>
      <c r="B666" t="s">
        <v>2136</v>
      </c>
      <c r="C666" t="s">
        <v>45</v>
      </c>
    </row>
    <row r="667" spans="1:3" x14ac:dyDescent="0.2">
      <c r="A667" t="s">
        <v>2133</v>
      </c>
      <c r="B667" t="s">
        <v>2134</v>
      </c>
      <c r="C667" t="s">
        <v>14</v>
      </c>
    </row>
    <row r="668" spans="1:3" x14ac:dyDescent="0.2">
      <c r="A668" t="s">
        <v>2131</v>
      </c>
      <c r="B668" t="s">
        <v>2132</v>
      </c>
      <c r="C668" t="s">
        <v>17</v>
      </c>
    </row>
    <row r="669" spans="1:3" x14ac:dyDescent="0.2">
      <c r="A669" t="s">
        <v>2129</v>
      </c>
      <c r="B669" t="s">
        <v>2130</v>
      </c>
      <c r="C669" t="s">
        <v>38</v>
      </c>
    </row>
    <row r="670" spans="1:3" x14ac:dyDescent="0.2">
      <c r="A670" t="s">
        <v>2127</v>
      </c>
      <c r="B670" t="s">
        <v>2128</v>
      </c>
      <c r="C670" t="s">
        <v>17</v>
      </c>
    </row>
    <row r="671" spans="1:3" x14ac:dyDescent="0.2">
      <c r="A671" t="s">
        <v>2126</v>
      </c>
      <c r="C671" t="s">
        <v>38</v>
      </c>
    </row>
    <row r="672" spans="1:3" x14ac:dyDescent="0.2">
      <c r="A672" t="s">
        <v>2124</v>
      </c>
      <c r="B672" t="s">
        <v>2125</v>
      </c>
      <c r="C672" t="s">
        <v>17</v>
      </c>
    </row>
    <row r="673" spans="1:3" x14ac:dyDescent="0.2">
      <c r="A673" t="s">
        <v>2122</v>
      </c>
      <c r="B673" t="s">
        <v>2123</v>
      </c>
      <c r="C673" t="s">
        <v>14</v>
      </c>
    </row>
    <row r="674" spans="1:3" x14ac:dyDescent="0.2">
      <c r="A674" t="s">
        <v>2120</v>
      </c>
      <c r="B674" t="s">
        <v>2121</v>
      </c>
      <c r="C674" t="s">
        <v>17</v>
      </c>
    </row>
    <row r="675" spans="1:3" x14ac:dyDescent="0.2">
      <c r="A675" t="s">
        <v>2118</v>
      </c>
      <c r="B675" t="s">
        <v>2119</v>
      </c>
      <c r="C675" t="s">
        <v>14</v>
      </c>
    </row>
    <row r="676" spans="1:3" x14ac:dyDescent="0.2">
      <c r="A676" t="s">
        <v>2116</v>
      </c>
      <c r="B676" t="s">
        <v>2117</v>
      </c>
      <c r="C676" t="s">
        <v>38</v>
      </c>
    </row>
    <row r="677" spans="1:3" x14ac:dyDescent="0.2">
      <c r="A677" t="s">
        <v>2114</v>
      </c>
      <c r="B677" t="s">
        <v>2115</v>
      </c>
      <c r="C677" t="s">
        <v>14</v>
      </c>
    </row>
    <row r="678" spans="1:3" x14ac:dyDescent="0.2">
      <c r="A678" t="s">
        <v>2112</v>
      </c>
      <c r="B678" t="s">
        <v>2113</v>
      </c>
      <c r="C678" t="s">
        <v>17</v>
      </c>
    </row>
    <row r="679" spans="1:3" x14ac:dyDescent="0.2">
      <c r="A679" t="s">
        <v>2110</v>
      </c>
      <c r="B679" t="s">
        <v>2111</v>
      </c>
      <c r="C679" t="s">
        <v>38</v>
      </c>
    </row>
    <row r="680" spans="1:3" x14ac:dyDescent="0.2">
      <c r="A680" t="s">
        <v>2108</v>
      </c>
      <c r="B680" t="s">
        <v>2109</v>
      </c>
      <c r="C680" t="s">
        <v>17</v>
      </c>
    </row>
    <row r="681" spans="1:3" x14ac:dyDescent="0.2">
      <c r="A681" t="s">
        <v>2106</v>
      </c>
      <c r="B681" t="s">
        <v>2107</v>
      </c>
      <c r="C681" t="s">
        <v>14</v>
      </c>
    </row>
    <row r="682" spans="1:3" x14ac:dyDescent="0.2">
      <c r="A682" t="s">
        <v>2104</v>
      </c>
      <c r="B682" t="s">
        <v>2105</v>
      </c>
      <c r="C682" t="s">
        <v>14</v>
      </c>
    </row>
    <row r="683" spans="1:3" x14ac:dyDescent="0.2">
      <c r="A683" t="s">
        <v>2102</v>
      </c>
      <c r="B683" t="s">
        <v>2103</v>
      </c>
      <c r="C683" t="s">
        <v>14</v>
      </c>
    </row>
    <row r="684" spans="1:3" x14ac:dyDescent="0.2">
      <c r="A684" t="s">
        <v>2100</v>
      </c>
      <c r="B684" t="s">
        <v>2101</v>
      </c>
      <c r="C684" t="s">
        <v>17</v>
      </c>
    </row>
    <row r="685" spans="1:3" x14ac:dyDescent="0.2">
      <c r="A685" t="s">
        <v>2098</v>
      </c>
      <c r="B685" t="s">
        <v>2099</v>
      </c>
      <c r="C685" t="s">
        <v>14</v>
      </c>
    </row>
    <row r="686" spans="1:3" x14ac:dyDescent="0.2">
      <c r="A686" t="s">
        <v>2096</v>
      </c>
      <c r="B686" t="s">
        <v>2097</v>
      </c>
      <c r="C686" t="s">
        <v>45</v>
      </c>
    </row>
    <row r="687" spans="1:3" x14ac:dyDescent="0.2">
      <c r="A687" t="s">
        <v>2095</v>
      </c>
      <c r="C687" t="s">
        <v>38</v>
      </c>
    </row>
    <row r="688" spans="1:3" x14ac:dyDescent="0.2">
      <c r="A688" t="s">
        <v>2093</v>
      </c>
      <c r="B688" t="s">
        <v>2094</v>
      </c>
      <c r="C688" t="s">
        <v>14</v>
      </c>
    </row>
    <row r="689" spans="1:3" x14ac:dyDescent="0.2">
      <c r="A689" t="s">
        <v>2091</v>
      </c>
      <c r="B689" t="s">
        <v>2092</v>
      </c>
      <c r="C689" t="s">
        <v>14</v>
      </c>
    </row>
    <row r="690" spans="1:3" x14ac:dyDescent="0.2">
      <c r="A690" t="s">
        <v>2089</v>
      </c>
      <c r="B690" t="s">
        <v>2090</v>
      </c>
      <c r="C690" t="s">
        <v>17</v>
      </c>
    </row>
    <row r="691" spans="1:3" x14ac:dyDescent="0.2">
      <c r="A691" t="s">
        <v>2087</v>
      </c>
      <c r="B691" t="s">
        <v>2088</v>
      </c>
      <c r="C691" t="s">
        <v>17</v>
      </c>
    </row>
    <row r="692" spans="1:3" x14ac:dyDescent="0.2">
      <c r="A692" t="s">
        <v>2085</v>
      </c>
      <c r="B692" t="s">
        <v>2086</v>
      </c>
      <c r="C692" t="s">
        <v>45</v>
      </c>
    </row>
    <row r="693" spans="1:3" x14ac:dyDescent="0.2">
      <c r="A693" t="s">
        <v>2083</v>
      </c>
      <c r="B693" t="s">
        <v>2084</v>
      </c>
      <c r="C693" t="s">
        <v>17</v>
      </c>
    </row>
    <row r="694" spans="1:3" x14ac:dyDescent="0.2">
      <c r="A694" t="s">
        <v>2081</v>
      </c>
      <c r="B694" t="s">
        <v>2082</v>
      </c>
      <c r="C694" t="s">
        <v>14</v>
      </c>
    </row>
    <row r="695" spans="1:3" x14ac:dyDescent="0.2">
      <c r="A695" t="s">
        <v>2079</v>
      </c>
      <c r="B695" t="s">
        <v>2080</v>
      </c>
      <c r="C695" t="s">
        <v>38</v>
      </c>
    </row>
    <row r="696" spans="1:3" x14ac:dyDescent="0.2">
      <c r="A696" t="s">
        <v>2077</v>
      </c>
      <c r="B696" t="s">
        <v>2078</v>
      </c>
      <c r="C696" t="s">
        <v>14</v>
      </c>
    </row>
    <row r="697" spans="1:3" x14ac:dyDescent="0.2">
      <c r="A697" t="s">
        <v>2075</v>
      </c>
      <c r="B697" t="s">
        <v>2076</v>
      </c>
      <c r="C697" t="s">
        <v>38</v>
      </c>
    </row>
    <row r="698" spans="1:3" x14ac:dyDescent="0.2">
      <c r="A698" t="s">
        <v>2073</v>
      </c>
      <c r="B698" t="s">
        <v>2074</v>
      </c>
      <c r="C698" t="s">
        <v>14</v>
      </c>
    </row>
    <row r="699" spans="1:3" x14ac:dyDescent="0.2">
      <c r="A699" t="s">
        <v>2071</v>
      </c>
      <c r="B699" t="s">
        <v>2072</v>
      </c>
      <c r="C699" t="s">
        <v>14</v>
      </c>
    </row>
    <row r="700" spans="1:3" x14ac:dyDescent="0.2">
      <c r="A700" t="s">
        <v>2069</v>
      </c>
      <c r="B700" t="s">
        <v>2070</v>
      </c>
      <c r="C700" t="s">
        <v>45</v>
      </c>
    </row>
    <row r="701" spans="1:3" x14ac:dyDescent="0.2">
      <c r="A701" t="s">
        <v>2067</v>
      </c>
      <c r="B701" t="s">
        <v>2068</v>
      </c>
      <c r="C701" t="s">
        <v>14</v>
      </c>
    </row>
    <row r="702" spans="1:3" x14ac:dyDescent="0.2">
      <c r="A702" t="s">
        <v>2065</v>
      </c>
      <c r="B702" t="s">
        <v>2066</v>
      </c>
      <c r="C702" t="s">
        <v>14</v>
      </c>
    </row>
    <row r="703" spans="1:3" x14ac:dyDescent="0.2">
      <c r="A703" t="s">
        <v>2063</v>
      </c>
      <c r="B703" t="s">
        <v>2064</v>
      </c>
      <c r="C703" t="s">
        <v>17</v>
      </c>
    </row>
    <row r="704" spans="1:3" x14ac:dyDescent="0.2">
      <c r="A704" t="s">
        <v>2061</v>
      </c>
      <c r="B704" t="s">
        <v>2062</v>
      </c>
      <c r="C704" t="s">
        <v>45</v>
      </c>
    </row>
    <row r="705" spans="1:3" x14ac:dyDescent="0.2">
      <c r="A705" t="s">
        <v>2059</v>
      </c>
      <c r="B705" t="s">
        <v>2060</v>
      </c>
      <c r="C705" t="s">
        <v>17</v>
      </c>
    </row>
    <row r="706" spans="1:3" x14ac:dyDescent="0.2">
      <c r="A706" t="s">
        <v>2057</v>
      </c>
      <c r="B706" t="s">
        <v>2058</v>
      </c>
      <c r="C706" t="s">
        <v>45</v>
      </c>
    </row>
    <row r="707" spans="1:3" x14ac:dyDescent="0.2">
      <c r="A707" t="s">
        <v>2055</v>
      </c>
      <c r="B707" t="s">
        <v>2056</v>
      </c>
      <c r="C707" t="s">
        <v>14</v>
      </c>
    </row>
    <row r="708" spans="1:3" x14ac:dyDescent="0.2">
      <c r="A708" t="s">
        <v>2053</v>
      </c>
      <c r="B708" t="s">
        <v>2054</v>
      </c>
      <c r="C708" t="s">
        <v>45</v>
      </c>
    </row>
    <row r="709" spans="1:3" x14ac:dyDescent="0.2">
      <c r="A709" t="s">
        <v>2051</v>
      </c>
      <c r="B709" t="s">
        <v>2052</v>
      </c>
      <c r="C709" t="s">
        <v>14</v>
      </c>
    </row>
    <row r="710" spans="1:3" x14ac:dyDescent="0.2">
      <c r="A710" t="s">
        <v>2049</v>
      </c>
      <c r="B710" t="s">
        <v>2050</v>
      </c>
      <c r="C710" t="s">
        <v>14</v>
      </c>
    </row>
    <row r="711" spans="1:3" x14ac:dyDescent="0.2">
      <c r="A711" t="s">
        <v>2047</v>
      </c>
      <c r="B711" t="s">
        <v>2048</v>
      </c>
      <c r="C711" t="s">
        <v>17</v>
      </c>
    </row>
    <row r="712" spans="1:3" x14ac:dyDescent="0.2">
      <c r="A712" t="s">
        <v>2045</v>
      </c>
      <c r="B712" t="s">
        <v>2046</v>
      </c>
      <c r="C712" t="s">
        <v>14</v>
      </c>
    </row>
    <row r="713" spans="1:3" x14ac:dyDescent="0.2">
      <c r="A713" t="s">
        <v>2043</v>
      </c>
      <c r="B713" t="s">
        <v>2044</v>
      </c>
      <c r="C713" t="s">
        <v>17</v>
      </c>
    </row>
    <row r="714" spans="1:3" x14ac:dyDescent="0.2">
      <c r="A714" t="s">
        <v>2041</v>
      </c>
      <c r="B714" t="s">
        <v>2042</v>
      </c>
      <c r="C714" t="s">
        <v>14</v>
      </c>
    </row>
    <row r="715" spans="1:3" x14ac:dyDescent="0.2">
      <c r="A715" t="s">
        <v>2039</v>
      </c>
      <c r="B715" t="s">
        <v>2040</v>
      </c>
      <c r="C715" t="s">
        <v>14</v>
      </c>
    </row>
    <row r="716" spans="1:3" x14ac:dyDescent="0.2">
      <c r="A716" t="s">
        <v>2037</v>
      </c>
      <c r="B716" t="s">
        <v>2038</v>
      </c>
      <c r="C716" t="s">
        <v>14</v>
      </c>
    </row>
    <row r="717" spans="1:3" x14ac:dyDescent="0.2">
      <c r="A717" t="s">
        <v>2035</v>
      </c>
      <c r="B717" t="s">
        <v>2036</v>
      </c>
      <c r="C717" t="s">
        <v>17</v>
      </c>
    </row>
    <row r="718" spans="1:3" x14ac:dyDescent="0.2">
      <c r="A718" t="s">
        <v>2033</v>
      </c>
      <c r="B718" t="s">
        <v>2034</v>
      </c>
      <c r="C718" t="s">
        <v>14</v>
      </c>
    </row>
    <row r="719" spans="1:3" x14ac:dyDescent="0.2">
      <c r="A719" t="s">
        <v>2031</v>
      </c>
      <c r="B719" t="s">
        <v>2032</v>
      </c>
      <c r="C719" t="s">
        <v>45</v>
      </c>
    </row>
    <row r="720" spans="1:3" x14ac:dyDescent="0.2">
      <c r="A720" t="s">
        <v>2029</v>
      </c>
      <c r="B720" t="s">
        <v>2030</v>
      </c>
      <c r="C720" t="s">
        <v>38</v>
      </c>
    </row>
    <row r="721" spans="1:3" x14ac:dyDescent="0.2">
      <c r="A721" t="s">
        <v>2027</v>
      </c>
      <c r="B721" t="s">
        <v>2028</v>
      </c>
      <c r="C721" t="s">
        <v>45</v>
      </c>
    </row>
    <row r="722" spans="1:3" x14ac:dyDescent="0.2">
      <c r="A722" t="s">
        <v>2025</v>
      </c>
      <c r="B722" t="s">
        <v>2026</v>
      </c>
      <c r="C722" t="s">
        <v>45</v>
      </c>
    </row>
    <row r="723" spans="1:3" x14ac:dyDescent="0.2">
      <c r="A723" t="s">
        <v>2024</v>
      </c>
      <c r="C723" t="s">
        <v>38</v>
      </c>
    </row>
    <row r="724" spans="1:3" x14ac:dyDescent="0.2">
      <c r="A724" t="s">
        <v>2022</v>
      </c>
      <c r="B724" t="s">
        <v>2023</v>
      </c>
      <c r="C724" t="s">
        <v>14</v>
      </c>
    </row>
    <row r="725" spans="1:3" x14ac:dyDescent="0.2">
      <c r="A725" t="s">
        <v>2020</v>
      </c>
      <c r="B725" t="s">
        <v>2021</v>
      </c>
      <c r="C725" t="s">
        <v>14</v>
      </c>
    </row>
    <row r="726" spans="1:3" x14ac:dyDescent="0.2">
      <c r="A726" t="s">
        <v>2018</v>
      </c>
      <c r="B726" t="s">
        <v>2019</v>
      </c>
      <c r="C726" t="s">
        <v>14</v>
      </c>
    </row>
    <row r="727" spans="1:3" x14ac:dyDescent="0.2">
      <c r="A727" t="s">
        <v>2016</v>
      </c>
      <c r="B727" t="s">
        <v>2017</v>
      </c>
      <c r="C727" t="s">
        <v>14</v>
      </c>
    </row>
    <row r="728" spans="1:3" x14ac:dyDescent="0.2">
      <c r="A728" t="s">
        <v>2014</v>
      </c>
      <c r="B728" t="s">
        <v>2015</v>
      </c>
      <c r="C728" t="s">
        <v>14</v>
      </c>
    </row>
    <row r="729" spans="1:3" x14ac:dyDescent="0.2">
      <c r="A729" t="s">
        <v>2012</v>
      </c>
      <c r="B729" t="s">
        <v>2013</v>
      </c>
      <c r="C729" t="s">
        <v>17</v>
      </c>
    </row>
    <row r="730" spans="1:3" x14ac:dyDescent="0.2">
      <c r="A730" t="s">
        <v>2010</v>
      </c>
      <c r="B730" t="s">
        <v>2011</v>
      </c>
      <c r="C730" t="s">
        <v>17</v>
      </c>
    </row>
    <row r="731" spans="1:3" x14ac:dyDescent="0.2">
      <c r="A731" t="s">
        <v>2008</v>
      </c>
      <c r="B731" t="s">
        <v>2009</v>
      </c>
      <c r="C731" t="s">
        <v>45</v>
      </c>
    </row>
    <row r="732" spans="1:3" x14ac:dyDescent="0.2">
      <c r="A732" t="s">
        <v>2006</v>
      </c>
      <c r="B732" t="s">
        <v>2007</v>
      </c>
      <c r="C732" t="s">
        <v>14</v>
      </c>
    </row>
    <row r="733" spans="1:3" x14ac:dyDescent="0.2">
      <c r="A733" t="s">
        <v>2004</v>
      </c>
      <c r="B733" t="s">
        <v>2005</v>
      </c>
      <c r="C733" t="s">
        <v>45</v>
      </c>
    </row>
    <row r="734" spans="1:3" x14ac:dyDescent="0.2">
      <c r="A734" t="s">
        <v>2002</v>
      </c>
      <c r="B734" t="s">
        <v>2003</v>
      </c>
      <c r="C734" t="s">
        <v>14</v>
      </c>
    </row>
    <row r="735" spans="1:3" x14ac:dyDescent="0.2">
      <c r="A735" t="s">
        <v>2000</v>
      </c>
      <c r="B735" t="s">
        <v>2001</v>
      </c>
      <c r="C735" t="s">
        <v>17</v>
      </c>
    </row>
    <row r="736" spans="1:3" x14ac:dyDescent="0.2">
      <c r="A736" t="s">
        <v>1998</v>
      </c>
      <c r="B736" t="s">
        <v>1999</v>
      </c>
      <c r="C736" t="s">
        <v>38</v>
      </c>
    </row>
    <row r="737" spans="1:3" x14ac:dyDescent="0.2">
      <c r="A737" t="s">
        <v>1996</v>
      </c>
      <c r="B737" t="s">
        <v>1997</v>
      </c>
      <c r="C737" t="s">
        <v>17</v>
      </c>
    </row>
    <row r="738" spans="1:3" x14ac:dyDescent="0.2">
      <c r="A738" t="s">
        <v>1994</v>
      </c>
      <c r="B738" t="s">
        <v>1995</v>
      </c>
      <c r="C738" t="s">
        <v>14</v>
      </c>
    </row>
    <row r="739" spans="1:3" x14ac:dyDescent="0.2">
      <c r="A739" t="s">
        <v>1992</v>
      </c>
      <c r="B739" t="s">
        <v>1993</v>
      </c>
      <c r="C739" t="s">
        <v>38</v>
      </c>
    </row>
    <row r="740" spans="1:3" x14ac:dyDescent="0.2">
      <c r="A740" t="s">
        <v>1990</v>
      </c>
      <c r="B740" t="s">
        <v>1991</v>
      </c>
      <c r="C740" t="s">
        <v>17</v>
      </c>
    </row>
    <row r="741" spans="1:3" x14ac:dyDescent="0.2">
      <c r="A741" t="s">
        <v>1988</v>
      </c>
      <c r="B741" t="s">
        <v>1989</v>
      </c>
      <c r="C741" t="s">
        <v>17</v>
      </c>
    </row>
    <row r="742" spans="1:3" x14ac:dyDescent="0.2">
      <c r="A742" t="s">
        <v>1986</v>
      </c>
      <c r="B742" t="s">
        <v>1987</v>
      </c>
      <c r="C742" t="s">
        <v>45</v>
      </c>
    </row>
    <row r="743" spans="1:3" x14ac:dyDescent="0.2">
      <c r="A743" t="s">
        <v>1984</v>
      </c>
      <c r="B743" t="s">
        <v>1985</v>
      </c>
      <c r="C743" t="s">
        <v>14</v>
      </c>
    </row>
    <row r="744" spans="1:3" x14ac:dyDescent="0.2">
      <c r="A744" t="s">
        <v>1982</v>
      </c>
      <c r="B744" t="s">
        <v>1983</v>
      </c>
      <c r="C744" t="s">
        <v>38</v>
      </c>
    </row>
    <row r="745" spans="1:3" x14ac:dyDescent="0.2">
      <c r="A745" t="s">
        <v>1980</v>
      </c>
      <c r="B745" t="s">
        <v>1981</v>
      </c>
      <c r="C745" t="s">
        <v>38</v>
      </c>
    </row>
    <row r="746" spans="1:3" x14ac:dyDescent="0.2">
      <c r="A746" t="s">
        <v>1978</v>
      </c>
      <c r="B746" t="s">
        <v>1979</v>
      </c>
      <c r="C746" t="s">
        <v>14</v>
      </c>
    </row>
    <row r="747" spans="1:3" x14ac:dyDescent="0.2">
      <c r="A747" t="s">
        <v>1976</v>
      </c>
      <c r="B747" t="s">
        <v>1977</v>
      </c>
      <c r="C747" t="s">
        <v>17</v>
      </c>
    </row>
    <row r="748" spans="1:3" x14ac:dyDescent="0.2">
      <c r="A748" t="s">
        <v>1974</v>
      </c>
      <c r="B748" t="s">
        <v>1975</v>
      </c>
      <c r="C748" t="s">
        <v>14</v>
      </c>
    </row>
    <row r="749" spans="1:3" x14ac:dyDescent="0.2">
      <c r="A749" t="s">
        <v>1972</v>
      </c>
      <c r="B749" t="s">
        <v>1973</v>
      </c>
      <c r="C749" t="s">
        <v>17</v>
      </c>
    </row>
    <row r="750" spans="1:3" x14ac:dyDescent="0.2">
      <c r="A750" t="s">
        <v>1970</v>
      </c>
      <c r="B750" t="s">
        <v>1971</v>
      </c>
      <c r="C750" t="s">
        <v>45</v>
      </c>
    </row>
    <row r="751" spans="1:3" x14ac:dyDescent="0.2">
      <c r="A751" t="s">
        <v>1968</v>
      </c>
      <c r="B751" t="s">
        <v>1969</v>
      </c>
      <c r="C751" t="s">
        <v>14</v>
      </c>
    </row>
    <row r="752" spans="1:3" x14ac:dyDescent="0.2">
      <c r="A752" t="s">
        <v>1966</v>
      </c>
      <c r="B752" t="s">
        <v>1967</v>
      </c>
      <c r="C752" t="s">
        <v>14</v>
      </c>
    </row>
    <row r="753" spans="1:3" x14ac:dyDescent="0.2">
      <c r="A753" t="s">
        <v>1964</v>
      </c>
      <c r="B753" t="s">
        <v>1965</v>
      </c>
      <c r="C753" t="s">
        <v>45</v>
      </c>
    </row>
    <row r="754" spans="1:3" x14ac:dyDescent="0.2">
      <c r="A754" t="s">
        <v>1962</v>
      </c>
      <c r="B754" t="s">
        <v>1963</v>
      </c>
      <c r="C754" t="s">
        <v>38</v>
      </c>
    </row>
    <row r="755" spans="1:3" x14ac:dyDescent="0.2">
      <c r="A755" t="s">
        <v>1960</v>
      </c>
      <c r="B755" t="s">
        <v>1961</v>
      </c>
      <c r="C755" t="s">
        <v>38</v>
      </c>
    </row>
    <row r="756" spans="1:3" x14ac:dyDescent="0.2">
      <c r="A756" t="s">
        <v>1958</v>
      </c>
      <c r="B756" t="s">
        <v>1959</v>
      </c>
      <c r="C756" t="s">
        <v>38</v>
      </c>
    </row>
    <row r="757" spans="1:3" x14ac:dyDescent="0.2">
      <c r="A757" t="s">
        <v>1956</v>
      </c>
      <c r="B757" t="s">
        <v>1957</v>
      </c>
      <c r="C757" t="s">
        <v>17</v>
      </c>
    </row>
    <row r="758" spans="1:3" x14ac:dyDescent="0.2">
      <c r="A758" t="s">
        <v>1954</v>
      </c>
      <c r="B758" t="s">
        <v>1955</v>
      </c>
      <c r="C758" t="s">
        <v>45</v>
      </c>
    </row>
    <row r="759" spans="1:3" x14ac:dyDescent="0.2">
      <c r="A759" t="s">
        <v>1952</v>
      </c>
      <c r="B759" t="s">
        <v>1953</v>
      </c>
      <c r="C759" t="s">
        <v>17</v>
      </c>
    </row>
    <row r="760" spans="1:3" x14ac:dyDescent="0.2">
      <c r="A760" t="s">
        <v>1950</v>
      </c>
      <c r="B760" t="s">
        <v>1951</v>
      </c>
      <c r="C760" t="s">
        <v>14</v>
      </c>
    </row>
    <row r="761" spans="1:3" x14ac:dyDescent="0.2">
      <c r="A761" t="s">
        <v>1948</v>
      </c>
      <c r="B761" t="s">
        <v>1949</v>
      </c>
      <c r="C761" t="s">
        <v>17</v>
      </c>
    </row>
    <row r="762" spans="1:3" x14ac:dyDescent="0.2">
      <c r="A762" t="s">
        <v>1946</v>
      </c>
      <c r="B762" t="s">
        <v>1947</v>
      </c>
      <c r="C762" t="s">
        <v>45</v>
      </c>
    </row>
    <row r="763" spans="1:3" x14ac:dyDescent="0.2">
      <c r="A763" t="s">
        <v>1944</v>
      </c>
      <c r="B763" t="s">
        <v>1945</v>
      </c>
      <c r="C763" t="s">
        <v>45</v>
      </c>
    </row>
    <row r="764" spans="1:3" x14ac:dyDescent="0.2">
      <c r="A764" t="s">
        <v>1942</v>
      </c>
      <c r="B764" t="s">
        <v>1943</v>
      </c>
      <c r="C764" t="s">
        <v>14</v>
      </c>
    </row>
    <row r="765" spans="1:3" x14ac:dyDescent="0.2">
      <c r="A765" t="s">
        <v>1940</v>
      </c>
      <c r="B765" t="s">
        <v>1941</v>
      </c>
      <c r="C765" t="s">
        <v>14</v>
      </c>
    </row>
    <row r="766" spans="1:3" x14ac:dyDescent="0.2">
      <c r="A766" t="s">
        <v>1938</v>
      </c>
      <c r="B766" t="s">
        <v>1939</v>
      </c>
      <c r="C766" t="s">
        <v>38</v>
      </c>
    </row>
    <row r="767" spans="1:3" x14ac:dyDescent="0.2">
      <c r="A767" t="s">
        <v>1936</v>
      </c>
      <c r="B767" t="s">
        <v>1937</v>
      </c>
      <c r="C767" t="s">
        <v>45</v>
      </c>
    </row>
    <row r="768" spans="1:3" x14ac:dyDescent="0.2">
      <c r="A768" t="s">
        <v>1934</v>
      </c>
      <c r="B768" t="s">
        <v>1935</v>
      </c>
      <c r="C768" t="s">
        <v>45</v>
      </c>
    </row>
    <row r="769" spans="1:3" x14ac:dyDescent="0.2">
      <c r="A769" t="s">
        <v>1932</v>
      </c>
      <c r="B769" t="s">
        <v>1933</v>
      </c>
      <c r="C769" t="s">
        <v>14</v>
      </c>
    </row>
    <row r="770" spans="1:3" x14ac:dyDescent="0.2">
      <c r="A770" t="s">
        <v>1930</v>
      </c>
      <c r="B770" t="s">
        <v>1931</v>
      </c>
      <c r="C770" t="s">
        <v>14</v>
      </c>
    </row>
    <row r="771" spans="1:3" x14ac:dyDescent="0.2">
      <c r="A771" t="s">
        <v>1928</v>
      </c>
      <c r="B771" t="s">
        <v>1929</v>
      </c>
      <c r="C771" t="s">
        <v>45</v>
      </c>
    </row>
    <row r="772" spans="1:3" x14ac:dyDescent="0.2">
      <c r="A772" t="s">
        <v>1926</v>
      </c>
      <c r="B772" t="s">
        <v>1927</v>
      </c>
      <c r="C772" t="s">
        <v>14</v>
      </c>
    </row>
    <row r="773" spans="1:3" x14ac:dyDescent="0.2">
      <c r="A773" t="s">
        <v>1924</v>
      </c>
      <c r="B773" t="s">
        <v>1925</v>
      </c>
      <c r="C773" t="s">
        <v>38</v>
      </c>
    </row>
    <row r="774" spans="1:3" x14ac:dyDescent="0.2">
      <c r="A774" t="s">
        <v>1922</v>
      </c>
      <c r="B774" t="s">
        <v>1923</v>
      </c>
      <c r="C774" t="s">
        <v>14</v>
      </c>
    </row>
    <row r="775" spans="1:3" x14ac:dyDescent="0.2">
      <c r="A775" t="s">
        <v>1920</v>
      </c>
      <c r="B775" t="s">
        <v>1921</v>
      </c>
      <c r="C775" t="s">
        <v>14</v>
      </c>
    </row>
    <row r="776" spans="1:3" x14ac:dyDescent="0.2">
      <c r="A776" t="s">
        <v>1918</v>
      </c>
      <c r="B776" t="s">
        <v>1919</v>
      </c>
      <c r="C776" t="s">
        <v>17</v>
      </c>
    </row>
    <row r="777" spans="1:3" x14ac:dyDescent="0.2">
      <c r="A777" t="s">
        <v>1916</v>
      </c>
      <c r="B777" t="s">
        <v>1917</v>
      </c>
      <c r="C777" t="s">
        <v>14</v>
      </c>
    </row>
    <row r="778" spans="1:3" x14ac:dyDescent="0.2">
      <c r="A778" t="s">
        <v>1914</v>
      </c>
      <c r="B778" t="s">
        <v>1915</v>
      </c>
      <c r="C778" t="s">
        <v>45</v>
      </c>
    </row>
    <row r="779" spans="1:3" x14ac:dyDescent="0.2">
      <c r="A779" t="s">
        <v>1912</v>
      </c>
      <c r="B779" t="s">
        <v>1913</v>
      </c>
      <c r="C779" t="s">
        <v>45</v>
      </c>
    </row>
    <row r="780" spans="1:3" x14ac:dyDescent="0.2">
      <c r="A780" t="s">
        <v>1910</v>
      </c>
      <c r="B780" t="s">
        <v>1911</v>
      </c>
      <c r="C780" t="s">
        <v>14</v>
      </c>
    </row>
    <row r="781" spans="1:3" x14ac:dyDescent="0.2">
      <c r="A781" t="s">
        <v>1908</v>
      </c>
      <c r="B781" t="s">
        <v>1909</v>
      </c>
      <c r="C781" t="s">
        <v>45</v>
      </c>
    </row>
    <row r="782" spans="1:3" x14ac:dyDescent="0.2">
      <c r="A782" t="s">
        <v>1906</v>
      </c>
      <c r="B782" t="s">
        <v>1907</v>
      </c>
      <c r="C782" t="s">
        <v>14</v>
      </c>
    </row>
    <row r="783" spans="1:3" x14ac:dyDescent="0.2">
      <c r="A783" t="s">
        <v>1904</v>
      </c>
      <c r="B783" t="s">
        <v>1905</v>
      </c>
      <c r="C783" t="s">
        <v>14</v>
      </c>
    </row>
    <row r="784" spans="1:3" x14ac:dyDescent="0.2">
      <c r="A784" t="s">
        <v>1902</v>
      </c>
      <c r="B784" t="s">
        <v>1903</v>
      </c>
      <c r="C784" t="s">
        <v>14</v>
      </c>
    </row>
    <row r="785" spans="1:3" x14ac:dyDescent="0.2">
      <c r="A785" t="s">
        <v>1900</v>
      </c>
      <c r="B785" t="s">
        <v>1901</v>
      </c>
      <c r="C785" t="s">
        <v>14</v>
      </c>
    </row>
    <row r="786" spans="1:3" x14ac:dyDescent="0.2">
      <c r="A786" t="s">
        <v>1898</v>
      </c>
      <c r="B786" t="s">
        <v>1899</v>
      </c>
      <c r="C786" t="s">
        <v>14</v>
      </c>
    </row>
    <row r="787" spans="1:3" x14ac:dyDescent="0.2">
      <c r="A787" t="s">
        <v>1896</v>
      </c>
      <c r="B787" t="s">
        <v>1897</v>
      </c>
      <c r="C787" t="s">
        <v>14</v>
      </c>
    </row>
    <row r="788" spans="1:3" x14ac:dyDescent="0.2">
      <c r="A788" t="s">
        <v>1894</v>
      </c>
      <c r="B788" t="s">
        <v>1895</v>
      </c>
      <c r="C788" t="s">
        <v>17</v>
      </c>
    </row>
    <row r="789" spans="1:3" x14ac:dyDescent="0.2">
      <c r="A789" t="s">
        <v>1892</v>
      </c>
      <c r="B789" t="s">
        <v>1893</v>
      </c>
      <c r="C789" t="s">
        <v>14</v>
      </c>
    </row>
    <row r="790" spans="1:3" x14ac:dyDescent="0.2">
      <c r="A790" t="s">
        <v>1890</v>
      </c>
      <c r="B790" t="s">
        <v>1891</v>
      </c>
      <c r="C790" t="s">
        <v>45</v>
      </c>
    </row>
    <row r="791" spans="1:3" x14ac:dyDescent="0.2">
      <c r="A791" t="s">
        <v>1888</v>
      </c>
      <c r="B791" t="s">
        <v>1889</v>
      </c>
      <c r="C791" t="s">
        <v>14</v>
      </c>
    </row>
    <row r="792" spans="1:3" x14ac:dyDescent="0.2">
      <c r="A792" t="s">
        <v>1886</v>
      </c>
      <c r="B792" t="s">
        <v>1887</v>
      </c>
      <c r="C792" t="s">
        <v>38</v>
      </c>
    </row>
    <row r="793" spans="1:3" x14ac:dyDescent="0.2">
      <c r="A793" t="s">
        <v>1884</v>
      </c>
      <c r="B793" t="s">
        <v>1885</v>
      </c>
      <c r="C793" t="s">
        <v>45</v>
      </c>
    </row>
    <row r="794" spans="1:3" x14ac:dyDescent="0.2">
      <c r="A794" t="s">
        <v>1882</v>
      </c>
      <c r="B794" t="s">
        <v>1883</v>
      </c>
      <c r="C794" t="s">
        <v>17</v>
      </c>
    </row>
    <row r="795" spans="1:3" x14ac:dyDescent="0.2">
      <c r="A795" t="s">
        <v>1880</v>
      </c>
      <c r="B795" t="s">
        <v>1881</v>
      </c>
      <c r="C795" t="s">
        <v>14</v>
      </c>
    </row>
    <row r="796" spans="1:3" x14ac:dyDescent="0.2">
      <c r="A796" t="s">
        <v>1878</v>
      </c>
      <c r="B796" t="s">
        <v>1879</v>
      </c>
      <c r="C796" t="s">
        <v>45</v>
      </c>
    </row>
    <row r="797" spans="1:3" x14ac:dyDescent="0.2">
      <c r="A797" t="s">
        <v>1876</v>
      </c>
      <c r="B797" t="s">
        <v>1877</v>
      </c>
      <c r="C797" t="s">
        <v>17</v>
      </c>
    </row>
    <row r="798" spans="1:3" x14ac:dyDescent="0.2">
      <c r="A798" t="s">
        <v>1874</v>
      </c>
      <c r="B798" t="s">
        <v>1875</v>
      </c>
      <c r="C798" t="s">
        <v>14</v>
      </c>
    </row>
    <row r="799" spans="1:3" x14ac:dyDescent="0.2">
      <c r="A799" t="s">
        <v>1872</v>
      </c>
      <c r="B799" t="s">
        <v>1873</v>
      </c>
      <c r="C799" t="s">
        <v>38</v>
      </c>
    </row>
    <row r="800" spans="1:3" x14ac:dyDescent="0.2">
      <c r="A800" t="s">
        <v>1870</v>
      </c>
      <c r="B800" t="s">
        <v>1871</v>
      </c>
      <c r="C800" t="s">
        <v>38</v>
      </c>
    </row>
    <row r="801" spans="1:3" x14ac:dyDescent="0.2">
      <c r="A801" t="s">
        <v>1868</v>
      </c>
      <c r="B801" t="s">
        <v>1869</v>
      </c>
      <c r="C801" t="s">
        <v>17</v>
      </c>
    </row>
    <row r="802" spans="1:3" x14ac:dyDescent="0.2">
      <c r="A802" t="s">
        <v>1866</v>
      </c>
      <c r="B802" t="s">
        <v>1867</v>
      </c>
      <c r="C802" t="s">
        <v>45</v>
      </c>
    </row>
    <row r="803" spans="1:3" x14ac:dyDescent="0.2">
      <c r="A803" t="s">
        <v>1864</v>
      </c>
      <c r="B803" t="s">
        <v>1865</v>
      </c>
      <c r="C803" t="s">
        <v>14</v>
      </c>
    </row>
    <row r="804" spans="1:3" x14ac:dyDescent="0.2">
      <c r="A804" t="s">
        <v>1862</v>
      </c>
      <c r="B804" t="s">
        <v>1863</v>
      </c>
      <c r="C804" t="s">
        <v>14</v>
      </c>
    </row>
    <row r="805" spans="1:3" x14ac:dyDescent="0.2">
      <c r="A805" t="s">
        <v>1860</v>
      </c>
      <c r="B805" t="s">
        <v>1861</v>
      </c>
      <c r="C805" t="s">
        <v>14</v>
      </c>
    </row>
    <row r="806" spans="1:3" x14ac:dyDescent="0.2">
      <c r="A806" t="s">
        <v>1858</v>
      </c>
      <c r="B806" t="s">
        <v>1859</v>
      </c>
      <c r="C806" t="s">
        <v>17</v>
      </c>
    </row>
    <row r="807" spans="1:3" x14ac:dyDescent="0.2">
      <c r="A807" t="s">
        <v>1856</v>
      </c>
      <c r="B807" t="s">
        <v>1857</v>
      </c>
      <c r="C807" t="s">
        <v>17</v>
      </c>
    </row>
    <row r="808" spans="1:3" x14ac:dyDescent="0.2">
      <c r="A808" t="s">
        <v>1854</v>
      </c>
      <c r="B808" t="s">
        <v>1855</v>
      </c>
      <c r="C808" t="s">
        <v>38</v>
      </c>
    </row>
    <row r="809" spans="1:3" x14ac:dyDescent="0.2">
      <c r="A809" t="s">
        <v>1852</v>
      </c>
      <c r="B809" t="s">
        <v>1853</v>
      </c>
      <c r="C809" t="s">
        <v>45</v>
      </c>
    </row>
    <row r="810" spans="1:3" x14ac:dyDescent="0.2">
      <c r="A810" t="s">
        <v>1850</v>
      </c>
      <c r="B810" t="s">
        <v>1851</v>
      </c>
      <c r="C810" t="s">
        <v>17</v>
      </c>
    </row>
    <row r="811" spans="1:3" x14ac:dyDescent="0.2">
      <c r="A811" t="s">
        <v>1848</v>
      </c>
      <c r="B811" t="s">
        <v>1849</v>
      </c>
      <c r="C811" t="s">
        <v>14</v>
      </c>
    </row>
    <row r="812" spans="1:3" x14ac:dyDescent="0.2">
      <c r="A812" t="s">
        <v>1846</v>
      </c>
      <c r="B812" t="s">
        <v>1847</v>
      </c>
      <c r="C812" t="s">
        <v>45</v>
      </c>
    </row>
    <row r="813" spans="1:3" x14ac:dyDescent="0.2">
      <c r="A813" t="s">
        <v>1844</v>
      </c>
      <c r="B813" t="s">
        <v>1845</v>
      </c>
      <c r="C813" t="s">
        <v>17</v>
      </c>
    </row>
    <row r="814" spans="1:3" x14ac:dyDescent="0.2">
      <c r="A814" t="s">
        <v>1842</v>
      </c>
      <c r="B814" t="s">
        <v>1843</v>
      </c>
      <c r="C814" t="s">
        <v>14</v>
      </c>
    </row>
    <row r="815" spans="1:3" x14ac:dyDescent="0.2">
      <c r="A815" t="s">
        <v>1840</v>
      </c>
      <c r="B815" t="s">
        <v>1841</v>
      </c>
      <c r="C815" t="s">
        <v>14</v>
      </c>
    </row>
    <row r="816" spans="1:3" x14ac:dyDescent="0.2">
      <c r="A816" t="s">
        <v>1838</v>
      </c>
      <c r="B816" t="s">
        <v>1839</v>
      </c>
      <c r="C816" t="s">
        <v>14</v>
      </c>
    </row>
    <row r="817" spans="1:3" x14ac:dyDescent="0.2">
      <c r="A817" t="s">
        <v>1836</v>
      </c>
      <c r="B817" t="s">
        <v>1837</v>
      </c>
      <c r="C817" t="s">
        <v>14</v>
      </c>
    </row>
    <row r="818" spans="1:3" x14ac:dyDescent="0.2">
      <c r="A818" t="s">
        <v>1834</v>
      </c>
      <c r="B818" t="s">
        <v>1835</v>
      </c>
      <c r="C818" t="s">
        <v>17</v>
      </c>
    </row>
    <row r="819" spans="1:3" x14ac:dyDescent="0.2">
      <c r="A819" t="s">
        <v>1832</v>
      </c>
      <c r="B819" t="s">
        <v>1833</v>
      </c>
      <c r="C819" t="s">
        <v>14</v>
      </c>
    </row>
    <row r="820" spans="1:3" x14ac:dyDescent="0.2">
      <c r="A820" t="s">
        <v>1830</v>
      </c>
      <c r="B820" t="s">
        <v>1831</v>
      </c>
      <c r="C820" t="s">
        <v>14</v>
      </c>
    </row>
    <row r="821" spans="1:3" x14ac:dyDescent="0.2">
      <c r="A821" t="s">
        <v>1828</v>
      </c>
      <c r="B821" t="s">
        <v>1829</v>
      </c>
      <c r="C821" t="s">
        <v>14</v>
      </c>
    </row>
    <row r="822" spans="1:3" x14ac:dyDescent="0.2">
      <c r="A822" t="s">
        <v>1826</v>
      </c>
      <c r="B822" t="s">
        <v>1827</v>
      </c>
      <c r="C822" t="s">
        <v>14</v>
      </c>
    </row>
    <row r="823" spans="1:3" x14ac:dyDescent="0.2">
      <c r="A823" t="s">
        <v>1824</v>
      </c>
      <c r="B823" t="s">
        <v>1825</v>
      </c>
      <c r="C823" t="s">
        <v>14</v>
      </c>
    </row>
    <row r="824" spans="1:3" x14ac:dyDescent="0.2">
      <c r="A824" t="s">
        <v>1822</v>
      </c>
      <c r="B824" t="s">
        <v>1823</v>
      </c>
      <c r="C824" t="s">
        <v>17</v>
      </c>
    </row>
    <row r="825" spans="1:3" x14ac:dyDescent="0.2">
      <c r="A825" t="s">
        <v>1820</v>
      </c>
      <c r="B825" t="s">
        <v>1821</v>
      </c>
      <c r="C825" t="s">
        <v>14</v>
      </c>
    </row>
    <row r="826" spans="1:3" x14ac:dyDescent="0.2">
      <c r="A826" t="s">
        <v>1818</v>
      </c>
      <c r="B826" t="s">
        <v>1819</v>
      </c>
      <c r="C826" t="s">
        <v>14</v>
      </c>
    </row>
    <row r="827" spans="1:3" x14ac:dyDescent="0.2">
      <c r="A827" t="s">
        <v>1816</v>
      </c>
      <c r="B827" t="s">
        <v>1817</v>
      </c>
      <c r="C827" t="s">
        <v>14</v>
      </c>
    </row>
    <row r="828" spans="1:3" x14ac:dyDescent="0.2">
      <c r="A828" t="s">
        <v>1814</v>
      </c>
      <c r="B828" t="s">
        <v>1815</v>
      </c>
      <c r="C828" t="s">
        <v>17</v>
      </c>
    </row>
    <row r="829" spans="1:3" x14ac:dyDescent="0.2">
      <c r="A829" t="s">
        <v>1812</v>
      </c>
      <c r="B829" t="s">
        <v>1813</v>
      </c>
      <c r="C829" t="s">
        <v>14</v>
      </c>
    </row>
    <row r="830" spans="1:3" x14ac:dyDescent="0.2">
      <c r="A830" t="s">
        <v>1810</v>
      </c>
      <c r="B830" t="s">
        <v>1811</v>
      </c>
      <c r="C830" t="s">
        <v>14</v>
      </c>
    </row>
    <row r="831" spans="1:3" x14ac:dyDescent="0.2">
      <c r="A831" t="s">
        <v>1808</v>
      </c>
      <c r="B831" t="s">
        <v>1809</v>
      </c>
      <c r="C831" t="s">
        <v>14</v>
      </c>
    </row>
    <row r="832" spans="1:3" x14ac:dyDescent="0.2">
      <c r="A832" t="s">
        <v>1806</v>
      </c>
      <c r="B832" t="s">
        <v>1807</v>
      </c>
      <c r="C832" t="s">
        <v>38</v>
      </c>
    </row>
    <row r="833" spans="1:3" x14ac:dyDescent="0.2">
      <c r="A833" t="s">
        <v>1804</v>
      </c>
      <c r="B833" t="s">
        <v>1805</v>
      </c>
      <c r="C833" t="s">
        <v>38</v>
      </c>
    </row>
    <row r="834" spans="1:3" x14ac:dyDescent="0.2">
      <c r="A834" t="s">
        <v>1802</v>
      </c>
      <c r="B834" t="s">
        <v>1803</v>
      </c>
      <c r="C834" t="s">
        <v>14</v>
      </c>
    </row>
    <row r="835" spans="1:3" x14ac:dyDescent="0.2">
      <c r="A835" t="s">
        <v>1800</v>
      </c>
      <c r="B835" t="s">
        <v>1801</v>
      </c>
      <c r="C835" t="s">
        <v>14</v>
      </c>
    </row>
    <row r="836" spans="1:3" x14ac:dyDescent="0.2">
      <c r="A836" t="s">
        <v>1798</v>
      </c>
      <c r="B836" t="s">
        <v>1799</v>
      </c>
      <c r="C836" t="s">
        <v>45</v>
      </c>
    </row>
    <row r="837" spans="1:3" x14ac:dyDescent="0.2">
      <c r="A837" t="s">
        <v>1796</v>
      </c>
      <c r="B837" t="s">
        <v>1797</v>
      </c>
      <c r="C837" t="s">
        <v>45</v>
      </c>
    </row>
    <row r="838" spans="1:3" x14ac:dyDescent="0.2">
      <c r="A838" t="s">
        <v>1794</v>
      </c>
      <c r="B838" t="s">
        <v>1795</v>
      </c>
      <c r="C838" t="s">
        <v>17</v>
      </c>
    </row>
    <row r="839" spans="1:3" x14ac:dyDescent="0.2">
      <c r="A839" t="s">
        <v>1792</v>
      </c>
      <c r="B839" t="s">
        <v>1793</v>
      </c>
      <c r="C839" t="s">
        <v>45</v>
      </c>
    </row>
    <row r="840" spans="1:3" x14ac:dyDescent="0.2">
      <c r="A840" t="s">
        <v>1790</v>
      </c>
      <c r="B840" t="s">
        <v>1791</v>
      </c>
      <c r="C840" t="s">
        <v>14</v>
      </c>
    </row>
    <row r="841" spans="1:3" x14ac:dyDescent="0.2">
      <c r="A841" t="s">
        <v>1788</v>
      </c>
      <c r="B841" t="s">
        <v>1789</v>
      </c>
      <c r="C841" t="s">
        <v>45</v>
      </c>
    </row>
    <row r="842" spans="1:3" x14ac:dyDescent="0.2">
      <c r="A842" t="s">
        <v>1786</v>
      </c>
      <c r="B842" t="s">
        <v>1787</v>
      </c>
      <c r="C842" t="s">
        <v>14</v>
      </c>
    </row>
    <row r="843" spans="1:3" x14ac:dyDescent="0.2">
      <c r="A843" t="s">
        <v>1784</v>
      </c>
      <c r="B843" t="s">
        <v>1785</v>
      </c>
      <c r="C843" t="s">
        <v>38</v>
      </c>
    </row>
    <row r="844" spans="1:3" x14ac:dyDescent="0.2">
      <c r="A844" t="s">
        <v>1782</v>
      </c>
      <c r="B844" t="s">
        <v>1783</v>
      </c>
      <c r="C844" t="s">
        <v>45</v>
      </c>
    </row>
    <row r="845" spans="1:3" x14ac:dyDescent="0.2">
      <c r="A845" t="s">
        <v>1780</v>
      </c>
      <c r="B845" t="s">
        <v>1781</v>
      </c>
      <c r="C845" t="s">
        <v>38</v>
      </c>
    </row>
    <row r="846" spans="1:3" x14ac:dyDescent="0.2">
      <c r="A846" t="s">
        <v>1778</v>
      </c>
      <c r="B846" t="s">
        <v>1779</v>
      </c>
      <c r="C846" t="s">
        <v>45</v>
      </c>
    </row>
    <row r="847" spans="1:3" x14ac:dyDescent="0.2">
      <c r="A847" t="s">
        <v>1776</v>
      </c>
      <c r="B847" t="s">
        <v>1777</v>
      </c>
      <c r="C847" t="s">
        <v>14</v>
      </c>
    </row>
    <row r="848" spans="1:3" x14ac:dyDescent="0.2">
      <c r="A848" t="s">
        <v>1774</v>
      </c>
      <c r="B848" t="s">
        <v>1775</v>
      </c>
      <c r="C848" t="s">
        <v>17</v>
      </c>
    </row>
    <row r="849" spans="1:3" x14ac:dyDescent="0.2">
      <c r="A849" t="s">
        <v>1772</v>
      </c>
      <c r="B849" t="s">
        <v>1773</v>
      </c>
      <c r="C849" t="s">
        <v>38</v>
      </c>
    </row>
    <row r="850" spans="1:3" x14ac:dyDescent="0.2">
      <c r="A850" t="s">
        <v>1770</v>
      </c>
      <c r="B850" t="s">
        <v>1771</v>
      </c>
      <c r="C850" t="s">
        <v>17</v>
      </c>
    </row>
    <row r="851" spans="1:3" x14ac:dyDescent="0.2">
      <c r="A851" t="s">
        <v>1768</v>
      </c>
      <c r="B851" t="s">
        <v>1769</v>
      </c>
      <c r="C851" t="s">
        <v>45</v>
      </c>
    </row>
    <row r="852" spans="1:3" x14ac:dyDescent="0.2">
      <c r="A852" t="s">
        <v>1766</v>
      </c>
      <c r="B852" t="s">
        <v>1767</v>
      </c>
      <c r="C852" t="s">
        <v>17</v>
      </c>
    </row>
    <row r="853" spans="1:3" x14ac:dyDescent="0.2">
      <c r="A853" t="s">
        <v>1764</v>
      </c>
      <c r="B853" t="s">
        <v>1765</v>
      </c>
      <c r="C853" t="s">
        <v>14</v>
      </c>
    </row>
    <row r="854" spans="1:3" x14ac:dyDescent="0.2">
      <c r="A854" t="s">
        <v>1762</v>
      </c>
      <c r="B854" t="s">
        <v>1763</v>
      </c>
      <c r="C854" t="s">
        <v>45</v>
      </c>
    </row>
    <row r="855" spans="1:3" x14ac:dyDescent="0.2">
      <c r="A855" t="s">
        <v>1760</v>
      </c>
      <c r="B855" t="s">
        <v>1761</v>
      </c>
      <c r="C855" t="s">
        <v>14</v>
      </c>
    </row>
    <row r="856" spans="1:3" x14ac:dyDescent="0.2">
      <c r="A856" t="s">
        <v>1758</v>
      </c>
      <c r="B856" t="s">
        <v>1759</v>
      </c>
      <c r="C856" t="s">
        <v>17</v>
      </c>
    </row>
    <row r="857" spans="1:3" x14ac:dyDescent="0.2">
      <c r="A857" t="s">
        <v>1756</v>
      </c>
      <c r="B857" t="s">
        <v>1757</v>
      </c>
      <c r="C857" t="s">
        <v>14</v>
      </c>
    </row>
    <row r="858" spans="1:3" x14ac:dyDescent="0.2">
      <c r="A858" t="s">
        <v>1754</v>
      </c>
      <c r="B858" t="s">
        <v>1755</v>
      </c>
      <c r="C858" t="s">
        <v>45</v>
      </c>
    </row>
    <row r="859" spans="1:3" x14ac:dyDescent="0.2">
      <c r="A859" t="s">
        <v>1752</v>
      </c>
      <c r="B859" t="s">
        <v>1753</v>
      </c>
      <c r="C859" t="s">
        <v>14</v>
      </c>
    </row>
    <row r="860" spans="1:3" x14ac:dyDescent="0.2">
      <c r="A860" t="s">
        <v>1750</v>
      </c>
      <c r="B860" t="s">
        <v>1751</v>
      </c>
      <c r="C860" t="s">
        <v>38</v>
      </c>
    </row>
    <row r="861" spans="1:3" x14ac:dyDescent="0.2">
      <c r="A861" t="s">
        <v>1748</v>
      </c>
      <c r="B861" t="s">
        <v>1749</v>
      </c>
      <c r="C861" t="s">
        <v>45</v>
      </c>
    </row>
    <row r="862" spans="1:3" x14ac:dyDescent="0.2">
      <c r="A862" t="s">
        <v>1746</v>
      </c>
      <c r="B862" t="s">
        <v>1747</v>
      </c>
      <c r="C862" t="s">
        <v>14</v>
      </c>
    </row>
    <row r="863" spans="1:3" x14ac:dyDescent="0.2">
      <c r="A863" t="s">
        <v>1744</v>
      </c>
      <c r="B863" t="s">
        <v>1745</v>
      </c>
      <c r="C863" t="s">
        <v>14</v>
      </c>
    </row>
    <row r="864" spans="1:3" x14ac:dyDescent="0.2">
      <c r="A864" t="s">
        <v>1742</v>
      </c>
      <c r="B864" t="s">
        <v>1743</v>
      </c>
      <c r="C864" t="s">
        <v>14</v>
      </c>
    </row>
    <row r="865" spans="1:3" x14ac:dyDescent="0.2">
      <c r="A865" t="s">
        <v>1740</v>
      </c>
      <c r="B865" t="s">
        <v>1741</v>
      </c>
      <c r="C865" t="s">
        <v>14</v>
      </c>
    </row>
    <row r="866" spans="1:3" x14ac:dyDescent="0.2">
      <c r="A866" t="s">
        <v>1738</v>
      </c>
      <c r="B866" t="s">
        <v>1739</v>
      </c>
      <c r="C866" t="s">
        <v>14</v>
      </c>
    </row>
    <row r="867" spans="1:3" x14ac:dyDescent="0.2">
      <c r="A867" t="s">
        <v>1736</v>
      </c>
      <c r="B867" t="s">
        <v>1737</v>
      </c>
      <c r="C867" t="s">
        <v>14</v>
      </c>
    </row>
    <row r="868" spans="1:3" x14ac:dyDescent="0.2">
      <c r="A868" t="s">
        <v>1734</v>
      </c>
      <c r="B868" t="s">
        <v>1735</v>
      </c>
      <c r="C868" t="s">
        <v>17</v>
      </c>
    </row>
    <row r="869" spans="1:3" x14ac:dyDescent="0.2">
      <c r="A869" t="s">
        <v>1732</v>
      </c>
      <c r="B869" t="s">
        <v>1733</v>
      </c>
      <c r="C869" t="s">
        <v>14</v>
      </c>
    </row>
    <row r="870" spans="1:3" x14ac:dyDescent="0.2">
      <c r="A870" t="s">
        <v>1730</v>
      </c>
      <c r="B870" t="s">
        <v>1731</v>
      </c>
      <c r="C870" t="s">
        <v>45</v>
      </c>
    </row>
    <row r="871" spans="1:3" x14ac:dyDescent="0.2">
      <c r="A871" t="s">
        <v>1728</v>
      </c>
      <c r="B871" t="s">
        <v>1729</v>
      </c>
      <c r="C871" t="s">
        <v>14</v>
      </c>
    </row>
    <row r="872" spans="1:3" x14ac:dyDescent="0.2">
      <c r="A872" t="s">
        <v>1726</v>
      </c>
      <c r="B872" t="s">
        <v>1727</v>
      </c>
      <c r="C872" t="s">
        <v>17</v>
      </c>
    </row>
    <row r="873" spans="1:3" x14ac:dyDescent="0.2">
      <c r="A873" t="s">
        <v>1724</v>
      </c>
      <c r="B873" t="s">
        <v>1725</v>
      </c>
      <c r="C873" t="s">
        <v>14</v>
      </c>
    </row>
    <row r="874" spans="1:3" x14ac:dyDescent="0.2">
      <c r="A874" t="s">
        <v>1722</v>
      </c>
      <c r="B874" t="s">
        <v>1723</v>
      </c>
      <c r="C874" t="s">
        <v>14</v>
      </c>
    </row>
    <row r="875" spans="1:3" x14ac:dyDescent="0.2">
      <c r="A875" t="s">
        <v>1720</v>
      </c>
      <c r="B875" t="s">
        <v>1721</v>
      </c>
      <c r="C875" t="s">
        <v>45</v>
      </c>
    </row>
    <row r="876" spans="1:3" x14ac:dyDescent="0.2">
      <c r="A876" t="s">
        <v>1718</v>
      </c>
      <c r="B876" t="s">
        <v>1719</v>
      </c>
      <c r="C876" t="s">
        <v>14</v>
      </c>
    </row>
    <row r="877" spans="1:3" x14ac:dyDescent="0.2">
      <c r="A877" t="s">
        <v>1716</v>
      </c>
      <c r="B877" t="s">
        <v>1717</v>
      </c>
      <c r="C877" t="s">
        <v>14</v>
      </c>
    </row>
    <row r="878" spans="1:3" x14ac:dyDescent="0.2">
      <c r="A878" t="s">
        <v>1714</v>
      </c>
      <c r="B878" t="s">
        <v>1715</v>
      </c>
      <c r="C878" t="s">
        <v>14</v>
      </c>
    </row>
    <row r="879" spans="1:3" x14ac:dyDescent="0.2">
      <c r="A879" t="s">
        <v>1712</v>
      </c>
      <c r="B879" t="s">
        <v>1713</v>
      </c>
      <c r="C879" t="s">
        <v>14</v>
      </c>
    </row>
    <row r="880" spans="1:3" x14ac:dyDescent="0.2">
      <c r="A880" t="s">
        <v>1710</v>
      </c>
      <c r="B880" t="s">
        <v>1711</v>
      </c>
      <c r="C880" t="s">
        <v>14</v>
      </c>
    </row>
    <row r="881" spans="1:3" x14ac:dyDescent="0.2">
      <c r="A881" t="s">
        <v>1708</v>
      </c>
      <c r="B881" t="s">
        <v>1709</v>
      </c>
      <c r="C881" t="s">
        <v>14</v>
      </c>
    </row>
    <row r="882" spans="1:3" x14ac:dyDescent="0.2">
      <c r="A882" t="s">
        <v>1706</v>
      </c>
      <c r="B882" t="s">
        <v>1707</v>
      </c>
      <c r="C882" t="s">
        <v>14</v>
      </c>
    </row>
    <row r="883" spans="1:3" x14ac:dyDescent="0.2">
      <c r="A883" t="s">
        <v>1704</v>
      </c>
      <c r="B883" t="s">
        <v>1705</v>
      </c>
      <c r="C883" t="s">
        <v>14</v>
      </c>
    </row>
    <row r="884" spans="1:3" x14ac:dyDescent="0.2">
      <c r="A884" t="s">
        <v>1702</v>
      </c>
      <c r="B884" t="s">
        <v>1703</v>
      </c>
      <c r="C884" t="s">
        <v>14</v>
      </c>
    </row>
    <row r="885" spans="1:3" x14ac:dyDescent="0.2">
      <c r="A885" t="s">
        <v>1700</v>
      </c>
      <c r="B885" t="s">
        <v>1701</v>
      </c>
      <c r="C885" t="s">
        <v>14</v>
      </c>
    </row>
    <row r="886" spans="1:3" x14ac:dyDescent="0.2">
      <c r="A886" t="s">
        <v>1698</v>
      </c>
      <c r="B886" t="s">
        <v>1699</v>
      </c>
      <c r="C886" t="s">
        <v>14</v>
      </c>
    </row>
    <row r="887" spans="1:3" x14ac:dyDescent="0.2">
      <c r="A887" t="s">
        <v>1696</v>
      </c>
      <c r="B887" t="s">
        <v>1697</v>
      </c>
      <c r="C887" t="s">
        <v>17</v>
      </c>
    </row>
    <row r="888" spans="1:3" x14ac:dyDescent="0.2">
      <c r="A888" t="s">
        <v>1694</v>
      </c>
      <c r="B888" t="s">
        <v>1695</v>
      </c>
      <c r="C888" t="s">
        <v>17</v>
      </c>
    </row>
    <row r="889" spans="1:3" x14ac:dyDescent="0.2">
      <c r="A889" t="s">
        <v>1692</v>
      </c>
      <c r="B889" t="s">
        <v>1693</v>
      </c>
      <c r="C889" t="s">
        <v>17</v>
      </c>
    </row>
    <row r="890" spans="1:3" x14ac:dyDescent="0.2">
      <c r="A890" t="s">
        <v>1690</v>
      </c>
      <c r="B890" t="s">
        <v>1691</v>
      </c>
      <c r="C890" t="s">
        <v>14</v>
      </c>
    </row>
    <row r="891" spans="1:3" x14ac:dyDescent="0.2">
      <c r="A891" t="s">
        <v>1688</v>
      </c>
      <c r="B891" t="s">
        <v>1689</v>
      </c>
      <c r="C891" t="s">
        <v>45</v>
      </c>
    </row>
    <row r="892" spans="1:3" x14ac:dyDescent="0.2">
      <c r="A892" t="s">
        <v>1686</v>
      </c>
      <c r="B892" t="s">
        <v>1687</v>
      </c>
      <c r="C892" t="s">
        <v>14</v>
      </c>
    </row>
    <row r="893" spans="1:3" x14ac:dyDescent="0.2">
      <c r="A893" t="s">
        <v>1684</v>
      </c>
      <c r="B893" t="s">
        <v>1685</v>
      </c>
      <c r="C893" t="s">
        <v>14</v>
      </c>
    </row>
    <row r="894" spans="1:3" x14ac:dyDescent="0.2">
      <c r="A894" t="s">
        <v>1682</v>
      </c>
      <c r="B894" t="s">
        <v>1683</v>
      </c>
      <c r="C894" t="s">
        <v>38</v>
      </c>
    </row>
    <row r="895" spans="1:3" x14ac:dyDescent="0.2">
      <c r="A895" t="s">
        <v>1680</v>
      </c>
      <c r="B895" t="s">
        <v>1681</v>
      </c>
      <c r="C895" t="s">
        <v>14</v>
      </c>
    </row>
    <row r="896" spans="1:3" x14ac:dyDescent="0.2">
      <c r="A896" t="s">
        <v>1678</v>
      </c>
      <c r="B896" t="s">
        <v>1679</v>
      </c>
      <c r="C896" t="s">
        <v>14</v>
      </c>
    </row>
    <row r="897" spans="1:3" x14ac:dyDescent="0.2">
      <c r="A897" t="s">
        <v>1676</v>
      </c>
      <c r="B897" t="s">
        <v>1677</v>
      </c>
      <c r="C897" t="s">
        <v>14</v>
      </c>
    </row>
    <row r="898" spans="1:3" x14ac:dyDescent="0.2">
      <c r="A898" t="s">
        <v>1674</v>
      </c>
      <c r="B898" t="s">
        <v>1675</v>
      </c>
      <c r="C898" t="s">
        <v>14</v>
      </c>
    </row>
    <row r="899" spans="1:3" x14ac:dyDescent="0.2">
      <c r="A899" t="s">
        <v>1672</v>
      </c>
      <c r="B899" t="s">
        <v>1673</v>
      </c>
      <c r="C899" t="s">
        <v>14</v>
      </c>
    </row>
    <row r="900" spans="1:3" x14ac:dyDescent="0.2">
      <c r="A900" t="s">
        <v>1670</v>
      </c>
      <c r="B900" t="s">
        <v>1671</v>
      </c>
      <c r="C900" t="s">
        <v>14</v>
      </c>
    </row>
    <row r="901" spans="1:3" x14ac:dyDescent="0.2">
      <c r="A901" t="s">
        <v>1668</v>
      </c>
      <c r="B901" t="s">
        <v>1669</v>
      </c>
      <c r="C901" t="s">
        <v>38</v>
      </c>
    </row>
    <row r="902" spans="1:3" x14ac:dyDescent="0.2">
      <c r="A902" t="s">
        <v>1666</v>
      </c>
      <c r="B902" t="s">
        <v>1667</v>
      </c>
      <c r="C902" t="s">
        <v>45</v>
      </c>
    </row>
    <row r="903" spans="1:3" x14ac:dyDescent="0.2">
      <c r="A903" t="s">
        <v>1664</v>
      </c>
      <c r="B903" t="s">
        <v>1665</v>
      </c>
      <c r="C903" t="s">
        <v>14</v>
      </c>
    </row>
    <row r="904" spans="1:3" x14ac:dyDescent="0.2">
      <c r="A904" t="s">
        <v>1662</v>
      </c>
      <c r="B904" t="s">
        <v>1663</v>
      </c>
      <c r="C904" t="s">
        <v>14</v>
      </c>
    </row>
    <row r="905" spans="1:3" x14ac:dyDescent="0.2">
      <c r="A905" t="s">
        <v>1660</v>
      </c>
      <c r="B905" t="s">
        <v>1661</v>
      </c>
      <c r="C905" t="s">
        <v>17</v>
      </c>
    </row>
    <row r="906" spans="1:3" x14ac:dyDescent="0.2">
      <c r="A906" t="s">
        <v>1659</v>
      </c>
      <c r="C906" t="s">
        <v>38</v>
      </c>
    </row>
    <row r="907" spans="1:3" x14ac:dyDescent="0.2">
      <c r="A907" t="s">
        <v>1657</v>
      </c>
      <c r="B907" t="s">
        <v>1658</v>
      </c>
      <c r="C907" t="s">
        <v>14</v>
      </c>
    </row>
    <row r="908" spans="1:3" x14ac:dyDescent="0.2">
      <c r="A908" t="s">
        <v>1655</v>
      </c>
      <c r="B908" t="s">
        <v>1656</v>
      </c>
      <c r="C908" t="s">
        <v>17</v>
      </c>
    </row>
    <row r="909" spans="1:3" x14ac:dyDescent="0.2">
      <c r="A909" t="s">
        <v>1653</v>
      </c>
      <c r="B909" t="s">
        <v>1654</v>
      </c>
      <c r="C909" t="s">
        <v>14</v>
      </c>
    </row>
    <row r="910" spans="1:3" x14ac:dyDescent="0.2">
      <c r="A910" t="s">
        <v>1651</v>
      </c>
      <c r="B910" t="s">
        <v>1652</v>
      </c>
      <c r="C910" t="s">
        <v>17</v>
      </c>
    </row>
    <row r="911" spans="1:3" x14ac:dyDescent="0.2">
      <c r="A911" t="s">
        <v>1649</v>
      </c>
      <c r="B911" t="s">
        <v>1650</v>
      </c>
      <c r="C911" t="s">
        <v>45</v>
      </c>
    </row>
    <row r="912" spans="1:3" x14ac:dyDescent="0.2">
      <c r="A912" t="s">
        <v>1647</v>
      </c>
      <c r="B912" t="s">
        <v>1648</v>
      </c>
      <c r="C912" t="s">
        <v>45</v>
      </c>
    </row>
    <row r="913" spans="1:3" x14ac:dyDescent="0.2">
      <c r="A913" t="s">
        <v>1645</v>
      </c>
      <c r="B913" t="s">
        <v>1646</v>
      </c>
      <c r="C913" t="s">
        <v>14</v>
      </c>
    </row>
    <row r="914" spans="1:3" x14ac:dyDescent="0.2">
      <c r="A914" t="s">
        <v>1643</v>
      </c>
      <c r="B914" t="s">
        <v>1644</v>
      </c>
      <c r="C914" t="s">
        <v>14</v>
      </c>
    </row>
    <row r="915" spans="1:3" x14ac:dyDescent="0.2">
      <c r="A915" t="s">
        <v>1641</v>
      </c>
      <c r="B915" t="s">
        <v>1642</v>
      </c>
      <c r="C915" t="s">
        <v>17</v>
      </c>
    </row>
    <row r="916" spans="1:3" x14ac:dyDescent="0.2">
      <c r="A916" t="s">
        <v>1639</v>
      </c>
      <c r="B916" t="s">
        <v>1640</v>
      </c>
      <c r="C916" t="s">
        <v>14</v>
      </c>
    </row>
    <row r="917" spans="1:3" x14ac:dyDescent="0.2">
      <c r="A917" t="s">
        <v>1637</v>
      </c>
      <c r="B917" t="s">
        <v>1638</v>
      </c>
      <c r="C917" t="s">
        <v>17</v>
      </c>
    </row>
    <row r="918" spans="1:3" x14ac:dyDescent="0.2">
      <c r="A918" t="s">
        <v>1635</v>
      </c>
      <c r="B918" t="s">
        <v>1636</v>
      </c>
      <c r="C918" t="s">
        <v>45</v>
      </c>
    </row>
    <row r="919" spans="1:3" x14ac:dyDescent="0.2">
      <c r="A919" t="s">
        <v>1633</v>
      </c>
      <c r="B919" t="s">
        <v>1634</v>
      </c>
      <c r="C919" t="s">
        <v>14</v>
      </c>
    </row>
    <row r="920" spans="1:3" x14ac:dyDescent="0.2">
      <c r="A920" t="s">
        <v>1631</v>
      </c>
      <c r="B920" t="s">
        <v>1632</v>
      </c>
      <c r="C920" t="s">
        <v>45</v>
      </c>
    </row>
    <row r="921" spans="1:3" x14ac:dyDescent="0.2">
      <c r="A921" t="s">
        <v>1629</v>
      </c>
      <c r="B921" t="s">
        <v>1630</v>
      </c>
      <c r="C921" t="s">
        <v>14</v>
      </c>
    </row>
    <row r="922" spans="1:3" x14ac:dyDescent="0.2">
      <c r="A922" t="s">
        <v>1627</v>
      </c>
      <c r="B922" t="s">
        <v>1628</v>
      </c>
      <c r="C922" t="s">
        <v>45</v>
      </c>
    </row>
    <row r="923" spans="1:3" x14ac:dyDescent="0.2">
      <c r="A923" t="s">
        <v>1625</v>
      </c>
      <c r="B923" t="s">
        <v>1626</v>
      </c>
      <c r="C923" t="s">
        <v>14</v>
      </c>
    </row>
    <row r="924" spans="1:3" x14ac:dyDescent="0.2">
      <c r="A924" t="s">
        <v>1623</v>
      </c>
      <c r="B924" t="s">
        <v>1624</v>
      </c>
      <c r="C924" t="s">
        <v>14</v>
      </c>
    </row>
    <row r="925" spans="1:3" x14ac:dyDescent="0.2">
      <c r="A925" t="s">
        <v>1621</v>
      </c>
      <c r="B925" t="s">
        <v>1622</v>
      </c>
      <c r="C925" t="s">
        <v>17</v>
      </c>
    </row>
    <row r="926" spans="1:3" x14ac:dyDescent="0.2">
      <c r="A926" t="s">
        <v>1619</v>
      </c>
      <c r="B926" t="s">
        <v>1620</v>
      </c>
      <c r="C926" t="s">
        <v>14</v>
      </c>
    </row>
    <row r="927" spans="1:3" x14ac:dyDescent="0.2">
      <c r="A927" t="s">
        <v>1617</v>
      </c>
      <c r="B927" t="s">
        <v>1618</v>
      </c>
      <c r="C927" t="s">
        <v>14</v>
      </c>
    </row>
    <row r="928" spans="1:3" x14ac:dyDescent="0.2">
      <c r="A928" t="s">
        <v>1615</v>
      </c>
      <c r="B928" t="s">
        <v>1616</v>
      </c>
      <c r="C928" t="s">
        <v>14</v>
      </c>
    </row>
    <row r="929" spans="1:3" x14ac:dyDescent="0.2">
      <c r="A929" t="s">
        <v>1613</v>
      </c>
      <c r="B929" t="s">
        <v>1614</v>
      </c>
      <c r="C929" t="s">
        <v>45</v>
      </c>
    </row>
    <row r="930" spans="1:3" x14ac:dyDescent="0.2">
      <c r="A930" t="s">
        <v>1611</v>
      </c>
      <c r="B930" t="s">
        <v>1612</v>
      </c>
      <c r="C930" t="s">
        <v>14</v>
      </c>
    </row>
    <row r="931" spans="1:3" x14ac:dyDescent="0.2">
      <c r="A931" t="s">
        <v>1609</v>
      </c>
      <c r="B931" t="s">
        <v>1610</v>
      </c>
      <c r="C931" t="s">
        <v>14</v>
      </c>
    </row>
    <row r="932" spans="1:3" x14ac:dyDescent="0.2">
      <c r="A932" t="s">
        <v>1607</v>
      </c>
      <c r="B932" t="s">
        <v>1608</v>
      </c>
      <c r="C932" t="s">
        <v>14</v>
      </c>
    </row>
    <row r="933" spans="1:3" x14ac:dyDescent="0.2">
      <c r="A933" t="s">
        <v>1605</v>
      </c>
      <c r="B933" t="s">
        <v>1606</v>
      </c>
      <c r="C933" t="s">
        <v>45</v>
      </c>
    </row>
    <row r="934" spans="1:3" x14ac:dyDescent="0.2">
      <c r="A934" t="s">
        <v>1603</v>
      </c>
      <c r="B934" t="s">
        <v>1604</v>
      </c>
      <c r="C934" t="s">
        <v>14</v>
      </c>
    </row>
    <row r="935" spans="1:3" x14ac:dyDescent="0.2">
      <c r="A935" t="s">
        <v>1601</v>
      </c>
      <c r="B935" t="s">
        <v>1602</v>
      </c>
      <c r="C935" t="s">
        <v>38</v>
      </c>
    </row>
    <row r="936" spans="1:3" x14ac:dyDescent="0.2">
      <c r="A936" t="s">
        <v>1599</v>
      </c>
      <c r="B936" t="s">
        <v>1600</v>
      </c>
      <c r="C936" t="s">
        <v>45</v>
      </c>
    </row>
    <row r="937" spans="1:3" x14ac:dyDescent="0.2">
      <c r="A937" t="s">
        <v>1597</v>
      </c>
      <c r="B937" t="s">
        <v>1598</v>
      </c>
      <c r="C937" t="s">
        <v>45</v>
      </c>
    </row>
    <row r="938" spans="1:3" x14ac:dyDescent="0.2">
      <c r="A938" t="s">
        <v>1595</v>
      </c>
      <c r="B938" t="s">
        <v>1596</v>
      </c>
      <c r="C938" t="s">
        <v>14</v>
      </c>
    </row>
    <row r="939" spans="1:3" x14ac:dyDescent="0.2">
      <c r="A939" t="s">
        <v>1593</v>
      </c>
      <c r="B939" t="s">
        <v>1594</v>
      </c>
      <c r="C939" t="s">
        <v>17</v>
      </c>
    </row>
    <row r="940" spans="1:3" x14ac:dyDescent="0.2">
      <c r="A940" t="s">
        <v>1591</v>
      </c>
      <c r="B940" t="s">
        <v>1592</v>
      </c>
      <c r="C940" t="s">
        <v>45</v>
      </c>
    </row>
    <row r="941" spans="1:3" x14ac:dyDescent="0.2">
      <c r="A941" t="s">
        <v>1589</v>
      </c>
      <c r="B941" t="s">
        <v>1590</v>
      </c>
      <c r="C941" t="s">
        <v>17</v>
      </c>
    </row>
    <row r="942" spans="1:3" x14ac:dyDescent="0.2">
      <c r="A942" t="s">
        <v>1587</v>
      </c>
      <c r="B942" t="s">
        <v>1588</v>
      </c>
      <c r="C942" t="s">
        <v>14</v>
      </c>
    </row>
    <row r="943" spans="1:3" x14ac:dyDescent="0.2">
      <c r="A943" t="s">
        <v>1585</v>
      </c>
      <c r="B943" t="s">
        <v>1586</v>
      </c>
      <c r="C943" t="s">
        <v>17</v>
      </c>
    </row>
    <row r="944" spans="1:3" x14ac:dyDescent="0.2">
      <c r="A944" t="s">
        <v>1583</v>
      </c>
      <c r="B944" t="s">
        <v>1584</v>
      </c>
      <c r="C944" t="s">
        <v>14</v>
      </c>
    </row>
    <row r="945" spans="1:3" x14ac:dyDescent="0.2">
      <c r="A945" t="s">
        <v>1581</v>
      </c>
      <c r="B945" t="s">
        <v>1582</v>
      </c>
      <c r="C945" t="s">
        <v>14</v>
      </c>
    </row>
    <row r="946" spans="1:3" x14ac:dyDescent="0.2">
      <c r="A946" t="s">
        <v>1579</v>
      </c>
      <c r="B946" t="s">
        <v>1580</v>
      </c>
      <c r="C946" t="s">
        <v>17</v>
      </c>
    </row>
    <row r="947" spans="1:3" x14ac:dyDescent="0.2">
      <c r="A947" t="s">
        <v>1577</v>
      </c>
      <c r="B947" t="s">
        <v>1578</v>
      </c>
      <c r="C947" t="s">
        <v>17</v>
      </c>
    </row>
    <row r="948" spans="1:3" x14ac:dyDescent="0.2">
      <c r="A948" t="s">
        <v>1575</v>
      </c>
      <c r="B948" t="s">
        <v>1576</v>
      </c>
      <c r="C948" t="s">
        <v>14</v>
      </c>
    </row>
    <row r="949" spans="1:3" x14ac:dyDescent="0.2">
      <c r="A949" t="s">
        <v>1573</v>
      </c>
      <c r="B949" t="s">
        <v>1574</v>
      </c>
      <c r="C949" t="s">
        <v>17</v>
      </c>
    </row>
    <row r="950" spans="1:3" x14ac:dyDescent="0.2">
      <c r="A950" t="s">
        <v>1571</v>
      </c>
      <c r="B950" t="s">
        <v>1572</v>
      </c>
      <c r="C950" t="s">
        <v>38</v>
      </c>
    </row>
    <row r="951" spans="1:3" x14ac:dyDescent="0.2">
      <c r="A951" t="s">
        <v>1570</v>
      </c>
      <c r="C951" t="s">
        <v>38</v>
      </c>
    </row>
    <row r="952" spans="1:3" x14ac:dyDescent="0.2">
      <c r="A952" t="s">
        <v>1568</v>
      </c>
      <c r="B952" t="s">
        <v>1569</v>
      </c>
      <c r="C952" t="s">
        <v>14</v>
      </c>
    </row>
    <row r="953" spans="1:3" x14ac:dyDescent="0.2">
      <c r="A953" t="s">
        <v>1566</v>
      </c>
      <c r="B953" t="s">
        <v>1567</v>
      </c>
      <c r="C953" t="s">
        <v>17</v>
      </c>
    </row>
    <row r="954" spans="1:3" x14ac:dyDescent="0.2">
      <c r="A954" t="s">
        <v>1564</v>
      </c>
      <c r="B954" t="s">
        <v>1565</v>
      </c>
      <c r="C954" t="s">
        <v>14</v>
      </c>
    </row>
    <row r="955" spans="1:3" x14ac:dyDescent="0.2">
      <c r="A955" t="s">
        <v>1562</v>
      </c>
      <c r="B955" t="s">
        <v>1563</v>
      </c>
      <c r="C955" t="s">
        <v>14</v>
      </c>
    </row>
    <row r="956" spans="1:3" x14ac:dyDescent="0.2">
      <c r="A956" t="s">
        <v>1560</v>
      </c>
      <c r="B956" t="s">
        <v>1561</v>
      </c>
      <c r="C956" t="s">
        <v>14</v>
      </c>
    </row>
    <row r="957" spans="1:3" x14ac:dyDescent="0.2">
      <c r="A957" t="s">
        <v>1558</v>
      </c>
      <c r="B957" t="s">
        <v>1559</v>
      </c>
      <c r="C957" t="s">
        <v>38</v>
      </c>
    </row>
    <row r="958" spans="1:3" x14ac:dyDescent="0.2">
      <c r="A958" t="s">
        <v>1556</v>
      </c>
      <c r="B958" t="s">
        <v>1557</v>
      </c>
      <c r="C958" t="s">
        <v>45</v>
      </c>
    </row>
    <row r="959" spans="1:3" x14ac:dyDescent="0.2">
      <c r="A959" t="s">
        <v>1554</v>
      </c>
      <c r="B959" t="s">
        <v>1555</v>
      </c>
      <c r="C959" t="s">
        <v>14</v>
      </c>
    </row>
    <row r="960" spans="1:3" x14ac:dyDescent="0.2">
      <c r="A960" t="s">
        <v>1552</v>
      </c>
      <c r="B960" t="s">
        <v>1553</v>
      </c>
      <c r="C960" t="s">
        <v>38</v>
      </c>
    </row>
    <row r="961" spans="1:3" x14ac:dyDescent="0.2">
      <c r="A961" t="s">
        <v>1550</v>
      </c>
      <c r="B961" t="s">
        <v>1551</v>
      </c>
      <c r="C961" t="s">
        <v>17</v>
      </c>
    </row>
    <row r="962" spans="1:3" x14ac:dyDescent="0.2">
      <c r="A962" t="s">
        <v>1548</v>
      </c>
      <c r="B962" t="s">
        <v>1549</v>
      </c>
      <c r="C962" t="s">
        <v>14</v>
      </c>
    </row>
    <row r="963" spans="1:3" x14ac:dyDescent="0.2">
      <c r="A963" t="s">
        <v>1546</v>
      </c>
      <c r="B963" t="s">
        <v>1547</v>
      </c>
      <c r="C963" t="s">
        <v>45</v>
      </c>
    </row>
    <row r="964" spans="1:3" x14ac:dyDescent="0.2">
      <c r="A964" t="s">
        <v>1544</v>
      </c>
      <c r="B964" t="s">
        <v>1545</v>
      </c>
      <c r="C964" t="s">
        <v>14</v>
      </c>
    </row>
    <row r="965" spans="1:3" x14ac:dyDescent="0.2">
      <c r="A965" t="s">
        <v>1542</v>
      </c>
      <c r="B965" t="s">
        <v>1543</v>
      </c>
      <c r="C965" t="s">
        <v>14</v>
      </c>
    </row>
    <row r="966" spans="1:3" x14ac:dyDescent="0.2">
      <c r="A966" t="s">
        <v>1540</v>
      </c>
      <c r="B966" t="s">
        <v>1541</v>
      </c>
      <c r="C966" t="s">
        <v>45</v>
      </c>
    </row>
    <row r="967" spans="1:3" x14ac:dyDescent="0.2">
      <c r="A967" t="s">
        <v>1538</v>
      </c>
      <c r="B967" t="s">
        <v>1539</v>
      </c>
      <c r="C967" t="s">
        <v>17</v>
      </c>
    </row>
    <row r="968" spans="1:3" x14ac:dyDescent="0.2">
      <c r="A968" t="s">
        <v>1536</v>
      </c>
      <c r="B968" t="s">
        <v>1537</v>
      </c>
      <c r="C968" t="s">
        <v>14</v>
      </c>
    </row>
    <row r="969" spans="1:3" x14ac:dyDescent="0.2">
      <c r="A969" t="s">
        <v>1534</v>
      </c>
      <c r="B969" t="s">
        <v>1535</v>
      </c>
      <c r="C969" t="s">
        <v>17</v>
      </c>
    </row>
    <row r="970" spans="1:3" x14ac:dyDescent="0.2">
      <c r="A970" t="s">
        <v>1532</v>
      </c>
      <c r="B970" t="s">
        <v>1533</v>
      </c>
      <c r="C970" t="s">
        <v>14</v>
      </c>
    </row>
    <row r="971" spans="1:3" x14ac:dyDescent="0.2">
      <c r="A971" t="s">
        <v>1530</v>
      </c>
      <c r="B971" t="s">
        <v>1531</v>
      </c>
      <c r="C971" t="s">
        <v>45</v>
      </c>
    </row>
    <row r="972" spans="1:3" x14ac:dyDescent="0.2">
      <c r="A972" t="s">
        <v>1528</v>
      </c>
      <c r="B972" t="s">
        <v>1529</v>
      </c>
      <c r="C972" t="s">
        <v>17</v>
      </c>
    </row>
    <row r="973" spans="1:3" x14ac:dyDescent="0.2">
      <c r="A973" t="s">
        <v>1526</v>
      </c>
      <c r="B973" t="s">
        <v>1527</v>
      </c>
      <c r="C973" t="s">
        <v>45</v>
      </c>
    </row>
    <row r="974" spans="1:3" x14ac:dyDescent="0.2">
      <c r="A974" t="s">
        <v>1524</v>
      </c>
      <c r="B974" t="s">
        <v>1525</v>
      </c>
      <c r="C974" t="s">
        <v>14</v>
      </c>
    </row>
    <row r="975" spans="1:3" x14ac:dyDescent="0.2">
      <c r="A975" t="s">
        <v>1522</v>
      </c>
      <c r="B975" t="s">
        <v>1523</v>
      </c>
      <c r="C975" t="s">
        <v>14</v>
      </c>
    </row>
    <row r="976" spans="1:3" x14ac:dyDescent="0.2">
      <c r="A976" t="s">
        <v>1520</v>
      </c>
      <c r="B976" t="s">
        <v>1521</v>
      </c>
      <c r="C976" t="s">
        <v>14</v>
      </c>
    </row>
    <row r="977" spans="1:3" x14ac:dyDescent="0.2">
      <c r="A977" t="s">
        <v>1518</v>
      </c>
      <c r="B977" t="s">
        <v>1519</v>
      </c>
      <c r="C977" t="s">
        <v>45</v>
      </c>
    </row>
    <row r="978" spans="1:3" x14ac:dyDescent="0.2">
      <c r="A978" t="s">
        <v>1516</v>
      </c>
      <c r="B978" t="s">
        <v>1517</v>
      </c>
      <c r="C978" t="s">
        <v>17</v>
      </c>
    </row>
    <row r="979" spans="1:3" x14ac:dyDescent="0.2">
      <c r="A979" t="s">
        <v>1514</v>
      </c>
      <c r="B979" t="s">
        <v>1515</v>
      </c>
      <c r="C979" t="s">
        <v>14</v>
      </c>
    </row>
    <row r="980" spans="1:3" x14ac:dyDescent="0.2">
      <c r="A980" t="s">
        <v>1512</v>
      </c>
      <c r="B980" t="s">
        <v>1513</v>
      </c>
      <c r="C980" t="s">
        <v>17</v>
      </c>
    </row>
    <row r="981" spans="1:3" x14ac:dyDescent="0.2">
      <c r="A981" t="s">
        <v>1510</v>
      </c>
      <c r="B981" t="s">
        <v>1511</v>
      </c>
      <c r="C981" t="s">
        <v>14</v>
      </c>
    </row>
    <row r="982" spans="1:3" x14ac:dyDescent="0.2">
      <c r="A982" t="s">
        <v>1508</v>
      </c>
      <c r="B982" t="s">
        <v>1509</v>
      </c>
      <c r="C982" t="s">
        <v>14</v>
      </c>
    </row>
    <row r="983" spans="1:3" x14ac:dyDescent="0.2">
      <c r="A983" t="s">
        <v>1506</v>
      </c>
      <c r="B983" t="s">
        <v>1507</v>
      </c>
      <c r="C983" t="s">
        <v>17</v>
      </c>
    </row>
    <row r="984" spans="1:3" x14ac:dyDescent="0.2">
      <c r="A984" t="s">
        <v>1504</v>
      </c>
      <c r="B984" t="s">
        <v>1505</v>
      </c>
      <c r="C984" t="s">
        <v>45</v>
      </c>
    </row>
    <row r="985" spans="1:3" x14ac:dyDescent="0.2">
      <c r="A985" t="s">
        <v>1502</v>
      </c>
      <c r="B985" t="s">
        <v>1503</v>
      </c>
      <c r="C985" t="s">
        <v>14</v>
      </c>
    </row>
    <row r="986" spans="1:3" x14ac:dyDescent="0.2">
      <c r="A986" t="s">
        <v>1500</v>
      </c>
      <c r="B986" t="s">
        <v>1501</v>
      </c>
      <c r="C986" t="s">
        <v>17</v>
      </c>
    </row>
    <row r="987" spans="1:3" x14ac:dyDescent="0.2">
      <c r="A987" t="s">
        <v>1498</v>
      </c>
      <c r="B987" t="s">
        <v>1499</v>
      </c>
      <c r="C987" t="s">
        <v>14</v>
      </c>
    </row>
    <row r="988" spans="1:3" x14ac:dyDescent="0.2">
      <c r="A988" t="s">
        <v>1496</v>
      </c>
      <c r="B988" t="s">
        <v>1497</v>
      </c>
      <c r="C988" t="s">
        <v>45</v>
      </c>
    </row>
    <row r="989" spans="1:3" x14ac:dyDescent="0.2">
      <c r="A989" t="s">
        <v>1494</v>
      </c>
      <c r="B989" t="s">
        <v>1495</v>
      </c>
      <c r="C989" t="s">
        <v>14</v>
      </c>
    </row>
    <row r="990" spans="1:3" x14ac:dyDescent="0.2">
      <c r="A990" t="s">
        <v>1492</v>
      </c>
      <c r="B990" t="s">
        <v>1493</v>
      </c>
      <c r="C990" t="s">
        <v>17</v>
      </c>
    </row>
    <row r="991" spans="1:3" x14ac:dyDescent="0.2">
      <c r="A991" t="s">
        <v>1490</v>
      </c>
      <c r="B991" t="s">
        <v>1491</v>
      </c>
      <c r="C991" t="s">
        <v>17</v>
      </c>
    </row>
    <row r="992" spans="1:3" x14ac:dyDescent="0.2">
      <c r="A992" t="s">
        <v>1488</v>
      </c>
      <c r="B992" t="s">
        <v>1489</v>
      </c>
      <c r="C992" t="s">
        <v>17</v>
      </c>
    </row>
    <row r="993" spans="1:3" x14ac:dyDescent="0.2">
      <c r="A993" t="s">
        <v>1486</v>
      </c>
      <c r="B993" t="s">
        <v>1487</v>
      </c>
      <c r="C993" t="s">
        <v>14</v>
      </c>
    </row>
    <row r="994" spans="1:3" x14ac:dyDescent="0.2">
      <c r="A994" t="s">
        <v>1484</v>
      </c>
      <c r="B994" t="s">
        <v>1485</v>
      </c>
      <c r="C994" t="s">
        <v>17</v>
      </c>
    </row>
    <row r="995" spans="1:3" x14ac:dyDescent="0.2">
      <c r="A995" t="s">
        <v>1482</v>
      </c>
      <c r="B995" t="s">
        <v>1483</v>
      </c>
      <c r="C995" t="s">
        <v>14</v>
      </c>
    </row>
    <row r="996" spans="1:3" x14ac:dyDescent="0.2">
      <c r="A996" t="s">
        <v>1480</v>
      </c>
      <c r="B996" t="s">
        <v>1481</v>
      </c>
      <c r="C996" t="s">
        <v>14</v>
      </c>
    </row>
    <row r="997" spans="1:3" x14ac:dyDescent="0.2">
      <c r="A997" t="s">
        <v>1478</v>
      </c>
      <c r="B997" t="s">
        <v>1479</v>
      </c>
      <c r="C997" t="s">
        <v>14</v>
      </c>
    </row>
    <row r="998" spans="1:3" x14ac:dyDescent="0.2">
      <c r="A998" t="s">
        <v>1476</v>
      </c>
      <c r="B998" t="s">
        <v>1477</v>
      </c>
      <c r="C998" t="s">
        <v>14</v>
      </c>
    </row>
    <row r="999" spans="1:3" x14ac:dyDescent="0.2">
      <c r="A999" t="s">
        <v>1474</v>
      </c>
      <c r="B999" t="s">
        <v>1475</v>
      </c>
      <c r="C999" t="s">
        <v>45</v>
      </c>
    </row>
    <row r="1000" spans="1:3" x14ac:dyDescent="0.2">
      <c r="A1000" t="s">
        <v>1472</v>
      </c>
      <c r="B1000" t="s">
        <v>1473</v>
      </c>
      <c r="C1000" t="s">
        <v>14</v>
      </c>
    </row>
    <row r="1001" spans="1:3" x14ac:dyDescent="0.2">
      <c r="A1001" t="s">
        <v>1470</v>
      </c>
      <c r="B1001" t="s">
        <v>1471</v>
      </c>
      <c r="C1001" t="s">
        <v>17</v>
      </c>
    </row>
    <row r="1002" spans="1:3" x14ac:dyDescent="0.2">
      <c r="A1002" t="s">
        <v>1468</v>
      </c>
      <c r="B1002" t="s">
        <v>1469</v>
      </c>
      <c r="C1002" t="s">
        <v>14</v>
      </c>
    </row>
    <row r="1003" spans="1:3" x14ac:dyDescent="0.2">
      <c r="A1003" t="s">
        <v>1466</v>
      </c>
      <c r="B1003" t="s">
        <v>1467</v>
      </c>
      <c r="C1003" t="s">
        <v>45</v>
      </c>
    </row>
    <row r="1004" spans="1:3" x14ac:dyDescent="0.2">
      <c r="A1004" t="s">
        <v>1464</v>
      </c>
      <c r="B1004" t="s">
        <v>1465</v>
      </c>
      <c r="C1004" t="s">
        <v>14</v>
      </c>
    </row>
    <row r="1005" spans="1:3" x14ac:dyDescent="0.2">
      <c r="A1005" t="s">
        <v>1462</v>
      </c>
      <c r="B1005" t="s">
        <v>1463</v>
      </c>
      <c r="C1005" t="s">
        <v>14</v>
      </c>
    </row>
    <row r="1006" spans="1:3" x14ac:dyDescent="0.2">
      <c r="A1006" t="s">
        <v>1460</v>
      </c>
      <c r="B1006" t="s">
        <v>1461</v>
      </c>
      <c r="C1006" t="s">
        <v>45</v>
      </c>
    </row>
    <row r="1007" spans="1:3" x14ac:dyDescent="0.2">
      <c r="A1007" t="s">
        <v>1458</v>
      </c>
      <c r="B1007" t="s">
        <v>1459</v>
      </c>
      <c r="C1007" t="s">
        <v>14</v>
      </c>
    </row>
    <row r="1008" spans="1:3" x14ac:dyDescent="0.2">
      <c r="A1008" t="s">
        <v>1456</v>
      </c>
      <c r="B1008" t="s">
        <v>1457</v>
      </c>
      <c r="C1008" t="s">
        <v>38</v>
      </c>
    </row>
    <row r="1009" spans="1:3" x14ac:dyDescent="0.2">
      <c r="A1009" t="s">
        <v>1454</v>
      </c>
      <c r="B1009" t="s">
        <v>1455</v>
      </c>
      <c r="C1009" t="s">
        <v>45</v>
      </c>
    </row>
    <row r="1010" spans="1:3" x14ac:dyDescent="0.2">
      <c r="A1010" t="s">
        <v>1452</v>
      </c>
      <c r="B1010" t="s">
        <v>1453</v>
      </c>
      <c r="C1010" t="s">
        <v>45</v>
      </c>
    </row>
    <row r="1011" spans="1:3" x14ac:dyDescent="0.2">
      <c r="A1011" t="s">
        <v>1450</v>
      </c>
      <c r="B1011" t="s">
        <v>1451</v>
      </c>
      <c r="C1011" t="s">
        <v>14</v>
      </c>
    </row>
    <row r="1012" spans="1:3" x14ac:dyDescent="0.2">
      <c r="A1012" t="s">
        <v>1448</v>
      </c>
      <c r="B1012" t="s">
        <v>1449</v>
      </c>
      <c r="C1012" t="s">
        <v>17</v>
      </c>
    </row>
    <row r="1013" spans="1:3" x14ac:dyDescent="0.2">
      <c r="A1013" t="s">
        <v>1446</v>
      </c>
      <c r="B1013" t="s">
        <v>1447</v>
      </c>
      <c r="C1013" t="s">
        <v>17</v>
      </c>
    </row>
    <row r="1014" spans="1:3" x14ac:dyDescent="0.2">
      <c r="A1014" t="s">
        <v>1445</v>
      </c>
      <c r="C1014" t="s">
        <v>38</v>
      </c>
    </row>
    <row r="1015" spans="1:3" x14ac:dyDescent="0.2">
      <c r="A1015" t="s">
        <v>1443</v>
      </c>
      <c r="B1015" t="s">
        <v>1444</v>
      </c>
      <c r="C1015" t="s">
        <v>17</v>
      </c>
    </row>
    <row r="1016" spans="1:3" x14ac:dyDescent="0.2">
      <c r="A1016" t="s">
        <v>1441</v>
      </c>
      <c r="B1016" t="s">
        <v>1442</v>
      </c>
      <c r="C1016" t="s">
        <v>14</v>
      </c>
    </row>
    <row r="1017" spans="1:3" x14ac:dyDescent="0.2">
      <c r="A1017" t="s">
        <v>1439</v>
      </c>
      <c r="B1017" t="s">
        <v>1440</v>
      </c>
      <c r="C1017" t="s">
        <v>14</v>
      </c>
    </row>
    <row r="1018" spans="1:3" x14ac:dyDescent="0.2">
      <c r="A1018" t="s">
        <v>1437</v>
      </c>
      <c r="B1018" t="s">
        <v>1438</v>
      </c>
      <c r="C1018" t="s">
        <v>45</v>
      </c>
    </row>
    <row r="1019" spans="1:3" x14ac:dyDescent="0.2">
      <c r="A1019" t="s">
        <v>1435</v>
      </c>
      <c r="B1019" t="s">
        <v>1436</v>
      </c>
      <c r="C1019" t="s">
        <v>14</v>
      </c>
    </row>
    <row r="1020" spans="1:3" x14ac:dyDescent="0.2">
      <c r="A1020" t="s">
        <v>1433</v>
      </c>
      <c r="B1020" t="s">
        <v>1434</v>
      </c>
      <c r="C1020" t="s">
        <v>17</v>
      </c>
    </row>
    <row r="1021" spans="1:3" x14ac:dyDescent="0.2">
      <c r="A1021" t="s">
        <v>1431</v>
      </c>
      <c r="B1021" t="s">
        <v>1432</v>
      </c>
      <c r="C1021" t="s">
        <v>14</v>
      </c>
    </row>
    <row r="1022" spans="1:3" x14ac:dyDescent="0.2">
      <c r="A1022" t="s">
        <v>1429</v>
      </c>
      <c r="B1022" t="s">
        <v>1430</v>
      </c>
      <c r="C1022" t="s">
        <v>14</v>
      </c>
    </row>
    <row r="1023" spans="1:3" x14ac:dyDescent="0.2">
      <c r="A1023" t="s">
        <v>1427</v>
      </c>
      <c r="B1023" t="s">
        <v>1428</v>
      </c>
      <c r="C1023" t="s">
        <v>17</v>
      </c>
    </row>
    <row r="1024" spans="1:3" x14ac:dyDescent="0.2">
      <c r="A1024" t="s">
        <v>1425</v>
      </c>
      <c r="B1024" t="s">
        <v>1426</v>
      </c>
      <c r="C1024" t="s">
        <v>17</v>
      </c>
    </row>
    <row r="1025" spans="1:3" x14ac:dyDescent="0.2">
      <c r="A1025" t="s">
        <v>1423</v>
      </c>
      <c r="B1025" t="s">
        <v>1424</v>
      </c>
      <c r="C1025" t="s">
        <v>17</v>
      </c>
    </row>
    <row r="1026" spans="1:3" x14ac:dyDescent="0.2">
      <c r="A1026" t="s">
        <v>1421</v>
      </c>
      <c r="B1026" t="s">
        <v>1422</v>
      </c>
      <c r="C1026" t="s">
        <v>45</v>
      </c>
    </row>
    <row r="1027" spans="1:3" x14ac:dyDescent="0.2">
      <c r="A1027" t="s">
        <v>1419</v>
      </c>
      <c r="B1027" t="s">
        <v>1420</v>
      </c>
      <c r="C1027" t="s">
        <v>45</v>
      </c>
    </row>
    <row r="1028" spans="1:3" x14ac:dyDescent="0.2">
      <c r="A1028" t="s">
        <v>1417</v>
      </c>
      <c r="B1028" t="s">
        <v>1418</v>
      </c>
      <c r="C1028" t="s">
        <v>45</v>
      </c>
    </row>
    <row r="1029" spans="1:3" x14ac:dyDescent="0.2">
      <c r="A1029" t="s">
        <v>1415</v>
      </c>
      <c r="B1029" t="s">
        <v>1416</v>
      </c>
      <c r="C1029" t="s">
        <v>17</v>
      </c>
    </row>
    <row r="1030" spans="1:3" x14ac:dyDescent="0.2">
      <c r="A1030" t="s">
        <v>1413</v>
      </c>
      <c r="B1030" t="s">
        <v>1414</v>
      </c>
      <c r="C1030" t="s">
        <v>17</v>
      </c>
    </row>
    <row r="1031" spans="1:3" x14ac:dyDescent="0.2">
      <c r="A1031" t="s">
        <v>1411</v>
      </c>
      <c r="B1031" t="s">
        <v>1412</v>
      </c>
      <c r="C1031" t="s">
        <v>14</v>
      </c>
    </row>
    <row r="1032" spans="1:3" x14ac:dyDescent="0.2">
      <c r="A1032" t="s">
        <v>1409</v>
      </c>
      <c r="B1032" t="s">
        <v>1410</v>
      </c>
      <c r="C1032" t="s">
        <v>45</v>
      </c>
    </row>
    <row r="1033" spans="1:3" x14ac:dyDescent="0.2">
      <c r="A1033" t="s">
        <v>1407</v>
      </c>
      <c r="B1033" t="s">
        <v>1408</v>
      </c>
      <c r="C1033" t="s">
        <v>14</v>
      </c>
    </row>
    <row r="1034" spans="1:3" x14ac:dyDescent="0.2">
      <c r="A1034" t="s">
        <v>1405</v>
      </c>
      <c r="B1034" t="s">
        <v>1406</v>
      </c>
      <c r="C1034" t="s">
        <v>17</v>
      </c>
    </row>
    <row r="1035" spans="1:3" x14ac:dyDescent="0.2">
      <c r="A1035" t="s">
        <v>1403</v>
      </c>
      <c r="B1035" t="s">
        <v>1404</v>
      </c>
      <c r="C1035" t="s">
        <v>14</v>
      </c>
    </row>
    <row r="1036" spans="1:3" x14ac:dyDescent="0.2">
      <c r="A1036" t="s">
        <v>1401</v>
      </c>
      <c r="B1036" t="s">
        <v>1402</v>
      </c>
      <c r="C1036" t="s">
        <v>45</v>
      </c>
    </row>
    <row r="1037" spans="1:3" x14ac:dyDescent="0.2">
      <c r="A1037" t="s">
        <v>1399</v>
      </c>
      <c r="B1037" t="s">
        <v>1400</v>
      </c>
      <c r="C1037" t="s">
        <v>45</v>
      </c>
    </row>
    <row r="1038" spans="1:3" x14ac:dyDescent="0.2">
      <c r="A1038" t="s">
        <v>1397</v>
      </c>
      <c r="B1038" t="s">
        <v>1398</v>
      </c>
      <c r="C1038" t="s">
        <v>14</v>
      </c>
    </row>
    <row r="1039" spans="1:3" x14ac:dyDescent="0.2">
      <c r="A1039" t="s">
        <v>1395</v>
      </c>
      <c r="B1039" t="s">
        <v>1396</v>
      </c>
      <c r="C1039" t="s">
        <v>14</v>
      </c>
    </row>
    <row r="1040" spans="1:3" x14ac:dyDescent="0.2">
      <c r="A1040" t="s">
        <v>1393</v>
      </c>
      <c r="B1040" t="s">
        <v>1394</v>
      </c>
      <c r="C1040" t="s">
        <v>17</v>
      </c>
    </row>
    <row r="1041" spans="1:3" x14ac:dyDescent="0.2">
      <c r="A1041" t="s">
        <v>1391</v>
      </c>
      <c r="B1041" t="s">
        <v>1392</v>
      </c>
      <c r="C1041" t="s">
        <v>14</v>
      </c>
    </row>
    <row r="1042" spans="1:3" x14ac:dyDescent="0.2">
      <c r="A1042" t="s">
        <v>1389</v>
      </c>
      <c r="B1042" t="s">
        <v>1390</v>
      </c>
      <c r="C1042" t="s">
        <v>45</v>
      </c>
    </row>
    <row r="1043" spans="1:3" x14ac:dyDescent="0.2">
      <c r="A1043" t="s">
        <v>1387</v>
      </c>
      <c r="B1043" t="s">
        <v>1388</v>
      </c>
      <c r="C1043" t="s">
        <v>14</v>
      </c>
    </row>
    <row r="1044" spans="1:3" x14ac:dyDescent="0.2">
      <c r="A1044" t="s">
        <v>1385</v>
      </c>
      <c r="B1044" t="s">
        <v>1386</v>
      </c>
      <c r="C1044" t="s">
        <v>17</v>
      </c>
    </row>
    <row r="1045" spans="1:3" x14ac:dyDescent="0.2">
      <c r="A1045" t="s">
        <v>1383</v>
      </c>
      <c r="B1045" t="s">
        <v>1384</v>
      </c>
      <c r="C1045" t="s">
        <v>14</v>
      </c>
    </row>
    <row r="1046" spans="1:3" x14ac:dyDescent="0.2">
      <c r="A1046" t="s">
        <v>1381</v>
      </c>
      <c r="B1046" t="s">
        <v>1382</v>
      </c>
      <c r="C1046" t="s">
        <v>45</v>
      </c>
    </row>
    <row r="1047" spans="1:3" x14ac:dyDescent="0.2">
      <c r="A1047" t="s">
        <v>1379</v>
      </c>
      <c r="B1047" t="s">
        <v>1380</v>
      </c>
      <c r="C1047" t="s">
        <v>14</v>
      </c>
    </row>
    <row r="1048" spans="1:3" x14ac:dyDescent="0.2">
      <c r="A1048" t="s">
        <v>1377</v>
      </c>
      <c r="B1048" t="s">
        <v>1378</v>
      </c>
      <c r="C1048" t="s">
        <v>14</v>
      </c>
    </row>
    <row r="1049" spans="1:3" x14ac:dyDescent="0.2">
      <c r="A1049" t="s">
        <v>1375</v>
      </c>
      <c r="B1049" t="s">
        <v>1376</v>
      </c>
      <c r="C1049" t="s">
        <v>17</v>
      </c>
    </row>
    <row r="1050" spans="1:3" x14ac:dyDescent="0.2">
      <c r="A1050" t="s">
        <v>1373</v>
      </c>
      <c r="B1050" t="s">
        <v>1374</v>
      </c>
      <c r="C1050" t="s">
        <v>17</v>
      </c>
    </row>
    <row r="1051" spans="1:3" x14ac:dyDescent="0.2">
      <c r="A1051" t="s">
        <v>1371</v>
      </c>
      <c r="B1051" t="s">
        <v>1372</v>
      </c>
      <c r="C1051" t="s">
        <v>45</v>
      </c>
    </row>
    <row r="1052" spans="1:3" x14ac:dyDescent="0.2">
      <c r="A1052" t="s">
        <v>1369</v>
      </c>
      <c r="B1052" t="s">
        <v>1370</v>
      </c>
      <c r="C1052" t="s">
        <v>45</v>
      </c>
    </row>
    <row r="1053" spans="1:3" x14ac:dyDescent="0.2">
      <c r="A1053" t="s">
        <v>1367</v>
      </c>
      <c r="B1053" t="s">
        <v>1368</v>
      </c>
      <c r="C1053" t="s">
        <v>17</v>
      </c>
    </row>
    <row r="1054" spans="1:3" x14ac:dyDescent="0.2">
      <c r="A1054" t="s">
        <v>1365</v>
      </c>
      <c r="B1054" t="s">
        <v>1366</v>
      </c>
      <c r="C1054" t="s">
        <v>14</v>
      </c>
    </row>
    <row r="1055" spans="1:3" x14ac:dyDescent="0.2">
      <c r="A1055" t="s">
        <v>1363</v>
      </c>
      <c r="B1055" t="s">
        <v>1364</v>
      </c>
      <c r="C1055" t="s">
        <v>45</v>
      </c>
    </row>
    <row r="1056" spans="1:3" x14ac:dyDescent="0.2">
      <c r="A1056" t="s">
        <v>1361</v>
      </c>
      <c r="B1056" t="s">
        <v>1362</v>
      </c>
      <c r="C1056" t="s">
        <v>45</v>
      </c>
    </row>
    <row r="1057" spans="1:3" x14ac:dyDescent="0.2">
      <c r="A1057" t="s">
        <v>1359</v>
      </c>
      <c r="B1057" t="s">
        <v>1360</v>
      </c>
      <c r="C1057" t="s">
        <v>14</v>
      </c>
    </row>
    <row r="1058" spans="1:3" x14ac:dyDescent="0.2">
      <c r="A1058" t="s">
        <v>1357</v>
      </c>
      <c r="B1058" t="s">
        <v>1358</v>
      </c>
      <c r="C1058" t="s">
        <v>14</v>
      </c>
    </row>
    <row r="1059" spans="1:3" x14ac:dyDescent="0.2">
      <c r="A1059" t="s">
        <v>1355</v>
      </c>
      <c r="B1059" t="s">
        <v>1356</v>
      </c>
      <c r="C1059" t="s">
        <v>17</v>
      </c>
    </row>
    <row r="1060" spans="1:3" x14ac:dyDescent="0.2">
      <c r="A1060" t="s">
        <v>1353</v>
      </c>
      <c r="B1060" t="s">
        <v>1354</v>
      </c>
      <c r="C1060" t="s">
        <v>14</v>
      </c>
    </row>
    <row r="1061" spans="1:3" x14ac:dyDescent="0.2">
      <c r="A1061" t="s">
        <v>1351</v>
      </c>
      <c r="B1061" t="s">
        <v>1352</v>
      </c>
      <c r="C1061" t="s">
        <v>14</v>
      </c>
    </row>
    <row r="1062" spans="1:3" x14ac:dyDescent="0.2">
      <c r="A1062" t="s">
        <v>1349</v>
      </c>
      <c r="B1062" t="s">
        <v>1350</v>
      </c>
      <c r="C1062" t="s">
        <v>17</v>
      </c>
    </row>
    <row r="1063" spans="1:3" x14ac:dyDescent="0.2">
      <c r="A1063" t="s">
        <v>1347</v>
      </c>
      <c r="B1063" t="s">
        <v>1348</v>
      </c>
      <c r="C1063" t="s">
        <v>14</v>
      </c>
    </row>
    <row r="1064" spans="1:3" x14ac:dyDescent="0.2">
      <c r="A1064" t="s">
        <v>1345</v>
      </c>
      <c r="B1064" t="s">
        <v>1346</v>
      </c>
      <c r="C1064" t="s">
        <v>14</v>
      </c>
    </row>
    <row r="1065" spans="1:3" x14ac:dyDescent="0.2">
      <c r="A1065" t="s">
        <v>1343</v>
      </c>
      <c r="B1065" t="s">
        <v>1344</v>
      </c>
      <c r="C1065" t="s">
        <v>14</v>
      </c>
    </row>
    <row r="1066" spans="1:3" x14ac:dyDescent="0.2">
      <c r="A1066" t="s">
        <v>1341</v>
      </c>
      <c r="B1066" t="s">
        <v>1342</v>
      </c>
      <c r="C1066" t="s">
        <v>14</v>
      </c>
    </row>
    <row r="1067" spans="1:3" x14ac:dyDescent="0.2">
      <c r="A1067" t="s">
        <v>1339</v>
      </c>
      <c r="B1067" t="s">
        <v>1340</v>
      </c>
      <c r="C1067" t="s">
        <v>14</v>
      </c>
    </row>
    <row r="1068" spans="1:3" x14ac:dyDescent="0.2">
      <c r="A1068" t="s">
        <v>1337</v>
      </c>
      <c r="B1068" t="s">
        <v>1338</v>
      </c>
      <c r="C1068" t="s">
        <v>45</v>
      </c>
    </row>
    <row r="1069" spans="1:3" x14ac:dyDescent="0.2">
      <c r="A1069" t="s">
        <v>1335</v>
      </c>
      <c r="B1069" t="s">
        <v>1336</v>
      </c>
      <c r="C1069" t="s">
        <v>14</v>
      </c>
    </row>
    <row r="1070" spans="1:3" x14ac:dyDescent="0.2">
      <c r="A1070" t="s">
        <v>1333</v>
      </c>
      <c r="B1070" t="s">
        <v>1334</v>
      </c>
      <c r="C1070" t="s">
        <v>17</v>
      </c>
    </row>
    <row r="1071" spans="1:3" x14ac:dyDescent="0.2">
      <c r="A1071" t="s">
        <v>1331</v>
      </c>
      <c r="B1071" t="s">
        <v>1332</v>
      </c>
      <c r="C1071" t="s">
        <v>17</v>
      </c>
    </row>
    <row r="1072" spans="1:3" x14ac:dyDescent="0.2">
      <c r="A1072" t="s">
        <v>1329</v>
      </c>
      <c r="B1072" t="s">
        <v>1330</v>
      </c>
      <c r="C1072" t="s">
        <v>45</v>
      </c>
    </row>
    <row r="1073" spans="1:3" x14ac:dyDescent="0.2">
      <c r="A1073" t="s">
        <v>1327</v>
      </c>
      <c r="B1073" t="s">
        <v>1328</v>
      </c>
      <c r="C1073" t="s">
        <v>14</v>
      </c>
    </row>
    <row r="1074" spans="1:3" x14ac:dyDescent="0.2">
      <c r="A1074" t="s">
        <v>1325</v>
      </c>
      <c r="B1074" t="s">
        <v>1326</v>
      </c>
      <c r="C1074" t="s">
        <v>14</v>
      </c>
    </row>
    <row r="1075" spans="1:3" x14ac:dyDescent="0.2">
      <c r="A1075" t="s">
        <v>1323</v>
      </c>
      <c r="B1075" t="s">
        <v>1324</v>
      </c>
      <c r="C1075" t="s">
        <v>45</v>
      </c>
    </row>
    <row r="1076" spans="1:3" x14ac:dyDescent="0.2">
      <c r="A1076" t="s">
        <v>1321</v>
      </c>
      <c r="B1076" t="s">
        <v>1322</v>
      </c>
      <c r="C1076" t="s">
        <v>45</v>
      </c>
    </row>
    <row r="1077" spans="1:3" x14ac:dyDescent="0.2">
      <c r="A1077" t="s">
        <v>1319</v>
      </c>
      <c r="B1077" t="s">
        <v>1320</v>
      </c>
      <c r="C1077" t="s">
        <v>45</v>
      </c>
    </row>
    <row r="1078" spans="1:3" x14ac:dyDescent="0.2">
      <c r="A1078" t="s">
        <v>1317</v>
      </c>
      <c r="B1078" t="s">
        <v>1318</v>
      </c>
      <c r="C1078" t="s">
        <v>45</v>
      </c>
    </row>
    <row r="1079" spans="1:3" x14ac:dyDescent="0.2">
      <c r="A1079" t="s">
        <v>1315</v>
      </c>
      <c r="B1079" t="s">
        <v>1316</v>
      </c>
      <c r="C1079" t="s">
        <v>14</v>
      </c>
    </row>
    <row r="1080" spans="1:3" x14ac:dyDescent="0.2">
      <c r="A1080" t="s">
        <v>1313</v>
      </c>
      <c r="B1080" t="s">
        <v>1314</v>
      </c>
      <c r="C1080" t="s">
        <v>45</v>
      </c>
    </row>
    <row r="1081" spans="1:3" x14ac:dyDescent="0.2">
      <c r="A1081" t="s">
        <v>1311</v>
      </c>
      <c r="B1081" t="s">
        <v>1312</v>
      </c>
      <c r="C1081" t="s">
        <v>45</v>
      </c>
    </row>
    <row r="1082" spans="1:3" x14ac:dyDescent="0.2">
      <c r="A1082" t="s">
        <v>1309</v>
      </c>
      <c r="B1082" t="s">
        <v>1310</v>
      </c>
      <c r="C1082" t="s">
        <v>14</v>
      </c>
    </row>
    <row r="1083" spans="1:3" x14ac:dyDescent="0.2">
      <c r="A1083" t="s">
        <v>1307</v>
      </c>
      <c r="B1083" t="s">
        <v>1308</v>
      </c>
      <c r="C1083" t="s">
        <v>14</v>
      </c>
    </row>
    <row r="1084" spans="1:3" x14ac:dyDescent="0.2">
      <c r="A1084" t="s">
        <v>1305</v>
      </c>
      <c r="B1084" t="s">
        <v>1306</v>
      </c>
      <c r="C1084" t="s">
        <v>14</v>
      </c>
    </row>
    <row r="1085" spans="1:3" x14ac:dyDescent="0.2">
      <c r="A1085" t="s">
        <v>1303</v>
      </c>
      <c r="B1085" t="s">
        <v>1304</v>
      </c>
      <c r="C1085" t="s">
        <v>45</v>
      </c>
    </row>
    <row r="1086" spans="1:3" x14ac:dyDescent="0.2">
      <c r="A1086" t="s">
        <v>1301</v>
      </c>
      <c r="B1086" t="s">
        <v>1302</v>
      </c>
      <c r="C1086" t="s">
        <v>45</v>
      </c>
    </row>
    <row r="1087" spans="1:3" x14ac:dyDescent="0.2">
      <c r="A1087" t="s">
        <v>1299</v>
      </c>
      <c r="B1087" t="s">
        <v>1300</v>
      </c>
      <c r="C1087" t="s">
        <v>45</v>
      </c>
    </row>
    <row r="1088" spans="1:3" x14ac:dyDescent="0.2">
      <c r="A1088" t="s">
        <v>1297</v>
      </c>
      <c r="B1088" t="s">
        <v>1298</v>
      </c>
      <c r="C1088" t="s">
        <v>14</v>
      </c>
    </row>
    <row r="1089" spans="1:3" x14ac:dyDescent="0.2">
      <c r="A1089" t="s">
        <v>1295</v>
      </c>
      <c r="B1089" t="s">
        <v>1296</v>
      </c>
      <c r="C1089" t="s">
        <v>14</v>
      </c>
    </row>
    <row r="1090" spans="1:3" x14ac:dyDescent="0.2">
      <c r="A1090" t="s">
        <v>1293</v>
      </c>
      <c r="B1090" t="s">
        <v>1294</v>
      </c>
      <c r="C1090" t="s">
        <v>45</v>
      </c>
    </row>
    <row r="1091" spans="1:3" x14ac:dyDescent="0.2">
      <c r="A1091" t="s">
        <v>1291</v>
      </c>
      <c r="B1091" t="s">
        <v>1292</v>
      </c>
      <c r="C1091" t="s">
        <v>14</v>
      </c>
    </row>
    <row r="1092" spans="1:3" x14ac:dyDescent="0.2">
      <c r="A1092" t="s">
        <v>1289</v>
      </c>
      <c r="B1092" t="s">
        <v>1290</v>
      </c>
      <c r="C1092" t="s">
        <v>14</v>
      </c>
    </row>
    <row r="1093" spans="1:3" x14ac:dyDescent="0.2">
      <c r="A1093" t="s">
        <v>1287</v>
      </c>
      <c r="B1093" t="s">
        <v>1288</v>
      </c>
      <c r="C1093" t="s">
        <v>14</v>
      </c>
    </row>
    <row r="1094" spans="1:3" x14ac:dyDescent="0.2">
      <c r="A1094" t="s">
        <v>1285</v>
      </c>
      <c r="B1094" t="s">
        <v>1286</v>
      </c>
      <c r="C1094" t="s">
        <v>45</v>
      </c>
    </row>
    <row r="1095" spans="1:3" x14ac:dyDescent="0.2">
      <c r="A1095" t="s">
        <v>1283</v>
      </c>
      <c r="B1095" t="s">
        <v>1284</v>
      </c>
      <c r="C1095" t="s">
        <v>17</v>
      </c>
    </row>
    <row r="1096" spans="1:3" x14ac:dyDescent="0.2">
      <c r="A1096" t="s">
        <v>1281</v>
      </c>
      <c r="B1096" t="s">
        <v>1282</v>
      </c>
      <c r="C1096" t="s">
        <v>17</v>
      </c>
    </row>
    <row r="1097" spans="1:3" x14ac:dyDescent="0.2">
      <c r="A1097" t="s">
        <v>1279</v>
      </c>
      <c r="B1097" t="s">
        <v>1280</v>
      </c>
      <c r="C1097" t="s">
        <v>45</v>
      </c>
    </row>
    <row r="1098" spans="1:3" x14ac:dyDescent="0.2">
      <c r="A1098" t="s">
        <v>1277</v>
      </c>
      <c r="B1098" t="s">
        <v>1278</v>
      </c>
      <c r="C1098" t="s">
        <v>14</v>
      </c>
    </row>
    <row r="1099" spans="1:3" x14ac:dyDescent="0.2">
      <c r="A1099" t="s">
        <v>1275</v>
      </c>
      <c r="B1099" t="s">
        <v>1276</v>
      </c>
      <c r="C1099" t="s">
        <v>14</v>
      </c>
    </row>
    <row r="1100" spans="1:3" x14ac:dyDescent="0.2">
      <c r="A1100" t="s">
        <v>1273</v>
      </c>
      <c r="B1100" t="s">
        <v>1274</v>
      </c>
      <c r="C1100" t="s">
        <v>14</v>
      </c>
    </row>
    <row r="1101" spans="1:3" x14ac:dyDescent="0.2">
      <c r="A1101" t="s">
        <v>1271</v>
      </c>
      <c r="B1101" t="s">
        <v>1272</v>
      </c>
      <c r="C1101" t="s">
        <v>45</v>
      </c>
    </row>
    <row r="1102" spans="1:3" x14ac:dyDescent="0.2">
      <c r="A1102" t="s">
        <v>1269</v>
      </c>
      <c r="B1102" t="s">
        <v>1270</v>
      </c>
      <c r="C1102" t="s">
        <v>17</v>
      </c>
    </row>
    <row r="1103" spans="1:3" x14ac:dyDescent="0.2">
      <c r="A1103" t="s">
        <v>1267</v>
      </c>
      <c r="B1103" t="s">
        <v>1268</v>
      </c>
      <c r="C1103" t="s">
        <v>14</v>
      </c>
    </row>
    <row r="1104" spans="1:3" x14ac:dyDescent="0.2">
      <c r="A1104" t="s">
        <v>1265</v>
      </c>
      <c r="B1104" t="s">
        <v>1266</v>
      </c>
      <c r="C1104" t="s">
        <v>38</v>
      </c>
    </row>
    <row r="1105" spans="1:3" x14ac:dyDescent="0.2">
      <c r="A1105" t="s">
        <v>1263</v>
      </c>
      <c r="B1105" t="s">
        <v>1264</v>
      </c>
      <c r="C1105" t="s">
        <v>14</v>
      </c>
    </row>
    <row r="1106" spans="1:3" x14ac:dyDescent="0.2">
      <c r="A1106" t="s">
        <v>1261</v>
      </c>
      <c r="B1106" t="s">
        <v>1262</v>
      </c>
      <c r="C1106" t="s">
        <v>14</v>
      </c>
    </row>
    <row r="1107" spans="1:3" x14ac:dyDescent="0.2">
      <c r="A1107" t="s">
        <v>1259</v>
      </c>
      <c r="B1107" t="s">
        <v>1260</v>
      </c>
      <c r="C1107" t="s">
        <v>45</v>
      </c>
    </row>
    <row r="1108" spans="1:3" x14ac:dyDescent="0.2">
      <c r="A1108" t="s">
        <v>1257</v>
      </c>
      <c r="B1108" t="s">
        <v>1258</v>
      </c>
      <c r="C1108" t="s">
        <v>14</v>
      </c>
    </row>
    <row r="1109" spans="1:3" x14ac:dyDescent="0.2">
      <c r="A1109" t="s">
        <v>1255</v>
      </c>
      <c r="B1109" t="s">
        <v>1256</v>
      </c>
      <c r="C1109" t="s">
        <v>14</v>
      </c>
    </row>
    <row r="1110" spans="1:3" x14ac:dyDescent="0.2">
      <c r="A1110" t="s">
        <v>1253</v>
      </c>
      <c r="B1110" t="s">
        <v>1254</v>
      </c>
      <c r="C1110" t="s">
        <v>45</v>
      </c>
    </row>
    <row r="1111" spans="1:3" x14ac:dyDescent="0.2">
      <c r="A1111" t="s">
        <v>1251</v>
      </c>
      <c r="B1111" t="s">
        <v>1252</v>
      </c>
      <c r="C1111" t="s">
        <v>45</v>
      </c>
    </row>
    <row r="1112" spans="1:3" x14ac:dyDescent="0.2">
      <c r="A1112" t="s">
        <v>1249</v>
      </c>
      <c r="B1112" t="s">
        <v>1250</v>
      </c>
      <c r="C1112" t="s">
        <v>14</v>
      </c>
    </row>
    <row r="1113" spans="1:3" x14ac:dyDescent="0.2">
      <c r="A1113" t="s">
        <v>1247</v>
      </c>
      <c r="B1113" t="s">
        <v>1248</v>
      </c>
      <c r="C1113" t="s">
        <v>45</v>
      </c>
    </row>
    <row r="1114" spans="1:3" x14ac:dyDescent="0.2">
      <c r="A1114" t="s">
        <v>1245</v>
      </c>
      <c r="B1114" t="s">
        <v>1246</v>
      </c>
      <c r="C1114" t="s">
        <v>45</v>
      </c>
    </row>
    <row r="1115" spans="1:3" x14ac:dyDescent="0.2">
      <c r="A1115" t="s">
        <v>1243</v>
      </c>
      <c r="B1115" t="s">
        <v>1244</v>
      </c>
      <c r="C1115" t="s">
        <v>17</v>
      </c>
    </row>
    <row r="1116" spans="1:3" x14ac:dyDescent="0.2">
      <c r="A1116" t="s">
        <v>1241</v>
      </c>
      <c r="B1116" t="s">
        <v>1242</v>
      </c>
      <c r="C1116" t="s">
        <v>14</v>
      </c>
    </row>
    <row r="1117" spans="1:3" x14ac:dyDescent="0.2">
      <c r="A1117" t="s">
        <v>1239</v>
      </c>
      <c r="B1117" t="s">
        <v>1240</v>
      </c>
      <c r="C1117" t="s">
        <v>45</v>
      </c>
    </row>
    <row r="1118" spans="1:3" x14ac:dyDescent="0.2">
      <c r="A1118" t="s">
        <v>1237</v>
      </c>
      <c r="B1118" t="s">
        <v>1238</v>
      </c>
      <c r="C1118" t="s">
        <v>14</v>
      </c>
    </row>
    <row r="1119" spans="1:3" x14ac:dyDescent="0.2">
      <c r="A1119" t="s">
        <v>1235</v>
      </c>
      <c r="B1119" t="s">
        <v>1236</v>
      </c>
      <c r="C1119" t="s">
        <v>45</v>
      </c>
    </row>
    <row r="1120" spans="1:3" x14ac:dyDescent="0.2">
      <c r="A1120" t="s">
        <v>1233</v>
      </c>
      <c r="B1120" t="s">
        <v>1234</v>
      </c>
      <c r="C1120" t="s">
        <v>14</v>
      </c>
    </row>
    <row r="1121" spans="1:3" x14ac:dyDescent="0.2">
      <c r="A1121" t="s">
        <v>1231</v>
      </c>
      <c r="B1121" t="s">
        <v>1232</v>
      </c>
      <c r="C1121" t="s">
        <v>14</v>
      </c>
    </row>
    <row r="1122" spans="1:3" x14ac:dyDescent="0.2">
      <c r="A1122" t="s">
        <v>1229</v>
      </c>
      <c r="B1122" t="s">
        <v>1230</v>
      </c>
      <c r="C1122" t="s">
        <v>14</v>
      </c>
    </row>
    <row r="1123" spans="1:3" x14ac:dyDescent="0.2">
      <c r="A1123" t="s">
        <v>1227</v>
      </c>
      <c r="B1123" t="s">
        <v>1228</v>
      </c>
      <c r="C1123" t="s">
        <v>17</v>
      </c>
    </row>
    <row r="1124" spans="1:3" x14ac:dyDescent="0.2">
      <c r="A1124" t="s">
        <v>1225</v>
      </c>
      <c r="B1124" t="s">
        <v>1226</v>
      </c>
      <c r="C1124" t="s">
        <v>14</v>
      </c>
    </row>
    <row r="1125" spans="1:3" x14ac:dyDescent="0.2">
      <c r="A1125" t="s">
        <v>1223</v>
      </c>
      <c r="B1125" t="s">
        <v>1224</v>
      </c>
      <c r="C1125" t="s">
        <v>45</v>
      </c>
    </row>
    <row r="1126" spans="1:3" x14ac:dyDescent="0.2">
      <c r="A1126" t="s">
        <v>1221</v>
      </c>
      <c r="B1126" t="s">
        <v>1222</v>
      </c>
      <c r="C1126" t="s">
        <v>17</v>
      </c>
    </row>
    <row r="1127" spans="1:3" x14ac:dyDescent="0.2">
      <c r="A1127" t="s">
        <v>1219</v>
      </c>
      <c r="B1127" t="s">
        <v>1220</v>
      </c>
      <c r="C1127" t="s">
        <v>14</v>
      </c>
    </row>
    <row r="1128" spans="1:3" x14ac:dyDescent="0.2">
      <c r="A1128" t="s">
        <v>1217</v>
      </c>
      <c r="B1128" t="s">
        <v>1218</v>
      </c>
      <c r="C1128" t="s">
        <v>14</v>
      </c>
    </row>
    <row r="1129" spans="1:3" x14ac:dyDescent="0.2">
      <c r="A1129" t="s">
        <v>1215</v>
      </c>
      <c r="B1129" t="s">
        <v>1216</v>
      </c>
      <c r="C1129" t="s">
        <v>14</v>
      </c>
    </row>
    <row r="1130" spans="1:3" x14ac:dyDescent="0.2">
      <c r="A1130" t="s">
        <v>1213</v>
      </c>
      <c r="B1130" t="s">
        <v>1214</v>
      </c>
      <c r="C1130" t="s">
        <v>14</v>
      </c>
    </row>
    <row r="1131" spans="1:3" x14ac:dyDescent="0.2">
      <c r="A1131" t="s">
        <v>1211</v>
      </c>
      <c r="B1131" t="s">
        <v>1212</v>
      </c>
      <c r="C1131" t="s">
        <v>14</v>
      </c>
    </row>
    <row r="1132" spans="1:3" x14ac:dyDescent="0.2">
      <c r="A1132" t="s">
        <v>1209</v>
      </c>
      <c r="B1132" t="s">
        <v>1210</v>
      </c>
      <c r="C1132" t="s">
        <v>14</v>
      </c>
    </row>
    <row r="1133" spans="1:3" x14ac:dyDescent="0.2">
      <c r="A1133" t="s">
        <v>1207</v>
      </c>
      <c r="B1133" t="s">
        <v>1208</v>
      </c>
      <c r="C1133" t="s">
        <v>14</v>
      </c>
    </row>
    <row r="1134" spans="1:3" x14ac:dyDescent="0.2">
      <c r="A1134" t="s">
        <v>1205</v>
      </c>
      <c r="B1134" t="s">
        <v>1206</v>
      </c>
      <c r="C1134" t="s">
        <v>14</v>
      </c>
    </row>
    <row r="1135" spans="1:3" x14ac:dyDescent="0.2">
      <c r="A1135" t="s">
        <v>1203</v>
      </c>
      <c r="B1135" t="s">
        <v>1204</v>
      </c>
      <c r="C1135" t="s">
        <v>14</v>
      </c>
    </row>
    <row r="1136" spans="1:3" x14ac:dyDescent="0.2">
      <c r="A1136" t="s">
        <v>1201</v>
      </c>
      <c r="B1136" t="s">
        <v>1202</v>
      </c>
      <c r="C1136" t="s">
        <v>14</v>
      </c>
    </row>
    <row r="1137" spans="1:3" x14ac:dyDescent="0.2">
      <c r="A1137" t="s">
        <v>1199</v>
      </c>
      <c r="B1137" t="s">
        <v>1200</v>
      </c>
      <c r="C1137" t="s">
        <v>14</v>
      </c>
    </row>
    <row r="1138" spans="1:3" x14ac:dyDescent="0.2">
      <c r="A1138" t="s">
        <v>1197</v>
      </c>
      <c r="B1138" t="s">
        <v>1198</v>
      </c>
      <c r="C1138" t="s">
        <v>14</v>
      </c>
    </row>
    <row r="1139" spans="1:3" x14ac:dyDescent="0.2">
      <c r="A1139" t="s">
        <v>1195</v>
      </c>
      <c r="B1139" t="s">
        <v>1196</v>
      </c>
      <c r="C1139" t="s">
        <v>14</v>
      </c>
    </row>
    <row r="1140" spans="1:3" x14ac:dyDescent="0.2">
      <c r="A1140" t="s">
        <v>1193</v>
      </c>
      <c r="B1140" t="s">
        <v>1194</v>
      </c>
      <c r="C1140" t="s">
        <v>38</v>
      </c>
    </row>
    <row r="1141" spans="1:3" x14ac:dyDescent="0.2">
      <c r="A1141" t="s">
        <v>1191</v>
      </c>
      <c r="B1141" t="s">
        <v>1192</v>
      </c>
      <c r="C1141" t="s">
        <v>14</v>
      </c>
    </row>
    <row r="1142" spans="1:3" x14ac:dyDescent="0.2">
      <c r="A1142" t="s">
        <v>1189</v>
      </c>
      <c r="B1142" t="s">
        <v>1190</v>
      </c>
      <c r="C1142" t="s">
        <v>14</v>
      </c>
    </row>
    <row r="1143" spans="1:3" x14ac:dyDescent="0.2">
      <c r="A1143" t="s">
        <v>1187</v>
      </c>
      <c r="B1143" t="s">
        <v>1188</v>
      </c>
      <c r="C1143" t="s">
        <v>17</v>
      </c>
    </row>
    <row r="1144" spans="1:3" x14ac:dyDescent="0.2">
      <c r="A1144" t="s">
        <v>1185</v>
      </c>
      <c r="B1144" t="s">
        <v>1186</v>
      </c>
      <c r="C1144" t="s">
        <v>45</v>
      </c>
    </row>
    <row r="1145" spans="1:3" x14ac:dyDescent="0.2">
      <c r="A1145" t="s">
        <v>1183</v>
      </c>
      <c r="B1145" t="s">
        <v>1184</v>
      </c>
      <c r="C1145" t="s">
        <v>14</v>
      </c>
    </row>
    <row r="1146" spans="1:3" x14ac:dyDescent="0.2">
      <c r="A1146" t="s">
        <v>1181</v>
      </c>
      <c r="B1146" t="s">
        <v>1182</v>
      </c>
      <c r="C1146" t="s">
        <v>38</v>
      </c>
    </row>
    <row r="1147" spans="1:3" x14ac:dyDescent="0.2">
      <c r="A1147" t="s">
        <v>1179</v>
      </c>
      <c r="B1147" t="s">
        <v>1180</v>
      </c>
      <c r="C1147" t="s">
        <v>38</v>
      </c>
    </row>
    <row r="1148" spans="1:3" x14ac:dyDescent="0.2">
      <c r="A1148" t="s">
        <v>1177</v>
      </c>
      <c r="B1148" t="s">
        <v>1178</v>
      </c>
      <c r="C1148" t="s">
        <v>14</v>
      </c>
    </row>
    <row r="1149" spans="1:3" x14ac:dyDescent="0.2">
      <c r="A1149" t="s">
        <v>1175</v>
      </c>
      <c r="B1149" t="s">
        <v>1176</v>
      </c>
      <c r="C1149" t="s">
        <v>17</v>
      </c>
    </row>
    <row r="1150" spans="1:3" x14ac:dyDescent="0.2">
      <c r="A1150" t="s">
        <v>1173</v>
      </c>
      <c r="B1150" t="s">
        <v>1174</v>
      </c>
      <c r="C1150" t="s">
        <v>14</v>
      </c>
    </row>
    <row r="1151" spans="1:3" x14ac:dyDescent="0.2">
      <c r="A1151" t="s">
        <v>1171</v>
      </c>
      <c r="B1151" t="s">
        <v>1172</v>
      </c>
      <c r="C1151" t="s">
        <v>14</v>
      </c>
    </row>
    <row r="1152" spans="1:3" x14ac:dyDescent="0.2">
      <c r="A1152" t="s">
        <v>1169</v>
      </c>
      <c r="B1152" t="s">
        <v>1170</v>
      </c>
      <c r="C1152" t="s">
        <v>14</v>
      </c>
    </row>
    <row r="1153" spans="1:3" x14ac:dyDescent="0.2">
      <c r="A1153" t="s">
        <v>1167</v>
      </c>
      <c r="B1153" t="s">
        <v>1168</v>
      </c>
      <c r="C1153" t="s">
        <v>14</v>
      </c>
    </row>
    <row r="1154" spans="1:3" x14ac:dyDescent="0.2">
      <c r="A1154" t="s">
        <v>1165</v>
      </c>
      <c r="B1154" t="s">
        <v>1166</v>
      </c>
      <c r="C1154" t="s">
        <v>14</v>
      </c>
    </row>
    <row r="1155" spans="1:3" x14ac:dyDescent="0.2">
      <c r="A1155" t="s">
        <v>1163</v>
      </c>
      <c r="B1155" t="s">
        <v>1164</v>
      </c>
      <c r="C1155" t="s">
        <v>14</v>
      </c>
    </row>
    <row r="1156" spans="1:3" x14ac:dyDescent="0.2">
      <c r="A1156" t="s">
        <v>1161</v>
      </c>
      <c r="B1156" t="s">
        <v>1162</v>
      </c>
      <c r="C1156" t="s">
        <v>45</v>
      </c>
    </row>
    <row r="1157" spans="1:3" x14ac:dyDescent="0.2">
      <c r="A1157" t="s">
        <v>1159</v>
      </c>
      <c r="B1157" t="s">
        <v>1160</v>
      </c>
      <c r="C1157" t="s">
        <v>45</v>
      </c>
    </row>
    <row r="1158" spans="1:3" x14ac:dyDescent="0.2">
      <c r="A1158" t="s">
        <v>1157</v>
      </c>
      <c r="B1158" t="s">
        <v>1158</v>
      </c>
      <c r="C1158" t="s">
        <v>14</v>
      </c>
    </row>
    <row r="1159" spans="1:3" x14ac:dyDescent="0.2">
      <c r="A1159" t="s">
        <v>1155</v>
      </c>
      <c r="B1159" t="s">
        <v>1156</v>
      </c>
      <c r="C1159" t="s">
        <v>17</v>
      </c>
    </row>
    <row r="1160" spans="1:3" x14ac:dyDescent="0.2">
      <c r="A1160" t="s">
        <v>1153</v>
      </c>
      <c r="B1160" t="s">
        <v>1154</v>
      </c>
      <c r="C1160" t="s">
        <v>14</v>
      </c>
    </row>
    <row r="1161" spans="1:3" x14ac:dyDescent="0.2">
      <c r="A1161" t="s">
        <v>1151</v>
      </c>
      <c r="B1161" t="s">
        <v>1152</v>
      </c>
      <c r="C1161" t="s">
        <v>14</v>
      </c>
    </row>
    <row r="1162" spans="1:3" x14ac:dyDescent="0.2">
      <c r="A1162" t="s">
        <v>1149</v>
      </c>
      <c r="B1162" t="s">
        <v>1150</v>
      </c>
      <c r="C1162" t="s">
        <v>14</v>
      </c>
    </row>
    <row r="1163" spans="1:3" x14ac:dyDescent="0.2">
      <c r="A1163" t="s">
        <v>1147</v>
      </c>
      <c r="B1163" t="s">
        <v>1148</v>
      </c>
      <c r="C1163" t="s">
        <v>14</v>
      </c>
    </row>
    <row r="1164" spans="1:3" x14ac:dyDescent="0.2">
      <c r="A1164" t="s">
        <v>1145</v>
      </c>
      <c r="B1164" t="s">
        <v>1146</v>
      </c>
      <c r="C1164" t="s">
        <v>45</v>
      </c>
    </row>
    <row r="1165" spans="1:3" x14ac:dyDescent="0.2">
      <c r="A1165" t="s">
        <v>1143</v>
      </c>
      <c r="B1165" t="s">
        <v>1144</v>
      </c>
      <c r="C1165" t="s">
        <v>14</v>
      </c>
    </row>
    <row r="1166" spans="1:3" x14ac:dyDescent="0.2">
      <c r="A1166" t="s">
        <v>1141</v>
      </c>
      <c r="B1166" t="s">
        <v>1142</v>
      </c>
      <c r="C1166" t="s">
        <v>17</v>
      </c>
    </row>
    <row r="1167" spans="1:3" x14ac:dyDescent="0.2">
      <c r="A1167" t="s">
        <v>1139</v>
      </c>
      <c r="B1167" t="s">
        <v>1140</v>
      </c>
      <c r="C1167" t="s">
        <v>38</v>
      </c>
    </row>
    <row r="1168" spans="1:3" x14ac:dyDescent="0.2">
      <c r="A1168" t="s">
        <v>1137</v>
      </c>
      <c r="B1168" t="s">
        <v>1138</v>
      </c>
      <c r="C1168" t="s">
        <v>14</v>
      </c>
    </row>
    <row r="1169" spans="1:3" x14ac:dyDescent="0.2">
      <c r="A1169" t="s">
        <v>1135</v>
      </c>
      <c r="B1169" t="s">
        <v>1136</v>
      </c>
      <c r="C1169" t="s">
        <v>14</v>
      </c>
    </row>
    <row r="1170" spans="1:3" x14ac:dyDescent="0.2">
      <c r="A1170" t="s">
        <v>1133</v>
      </c>
      <c r="B1170" t="s">
        <v>1134</v>
      </c>
      <c r="C1170" t="s">
        <v>38</v>
      </c>
    </row>
    <row r="1171" spans="1:3" x14ac:dyDescent="0.2">
      <c r="A1171" t="s">
        <v>1131</v>
      </c>
      <c r="B1171" t="s">
        <v>1132</v>
      </c>
      <c r="C1171" t="s">
        <v>14</v>
      </c>
    </row>
    <row r="1172" spans="1:3" x14ac:dyDescent="0.2">
      <c r="A1172" t="s">
        <v>1129</v>
      </c>
      <c r="B1172" t="s">
        <v>1130</v>
      </c>
      <c r="C1172" t="s">
        <v>17</v>
      </c>
    </row>
    <row r="1173" spans="1:3" x14ac:dyDescent="0.2">
      <c r="A1173" t="s">
        <v>1127</v>
      </c>
      <c r="B1173" t="s">
        <v>1128</v>
      </c>
      <c r="C1173" t="s">
        <v>14</v>
      </c>
    </row>
    <row r="1174" spans="1:3" x14ac:dyDescent="0.2">
      <c r="A1174" t="s">
        <v>1125</v>
      </c>
      <c r="B1174" t="s">
        <v>1126</v>
      </c>
      <c r="C1174" t="s">
        <v>38</v>
      </c>
    </row>
    <row r="1175" spans="1:3" x14ac:dyDescent="0.2">
      <c r="A1175" t="s">
        <v>1123</v>
      </c>
      <c r="B1175" t="s">
        <v>1124</v>
      </c>
      <c r="C1175" t="s">
        <v>17</v>
      </c>
    </row>
    <row r="1176" spans="1:3" x14ac:dyDescent="0.2">
      <c r="A1176" t="s">
        <v>1121</v>
      </c>
      <c r="B1176" t="s">
        <v>1122</v>
      </c>
      <c r="C1176" t="s">
        <v>45</v>
      </c>
    </row>
    <row r="1177" spans="1:3" x14ac:dyDescent="0.2">
      <c r="A1177" t="s">
        <v>1119</v>
      </c>
      <c r="B1177" t="s">
        <v>1120</v>
      </c>
      <c r="C1177" t="s">
        <v>14</v>
      </c>
    </row>
    <row r="1178" spans="1:3" x14ac:dyDescent="0.2">
      <c r="A1178" t="s">
        <v>1117</v>
      </c>
      <c r="B1178" t="s">
        <v>1118</v>
      </c>
      <c r="C1178" t="s">
        <v>14</v>
      </c>
    </row>
    <row r="1179" spans="1:3" x14ac:dyDescent="0.2">
      <c r="A1179" t="s">
        <v>1115</v>
      </c>
      <c r="B1179" t="s">
        <v>1116</v>
      </c>
      <c r="C1179" t="s">
        <v>14</v>
      </c>
    </row>
    <row r="1180" spans="1:3" x14ac:dyDescent="0.2">
      <c r="A1180" t="s">
        <v>1113</v>
      </c>
      <c r="B1180" t="s">
        <v>1114</v>
      </c>
      <c r="C1180" t="s">
        <v>45</v>
      </c>
    </row>
    <row r="1181" spans="1:3" x14ac:dyDescent="0.2">
      <c r="A1181" t="s">
        <v>1111</v>
      </c>
      <c r="B1181" t="s">
        <v>1112</v>
      </c>
      <c r="C1181" t="s">
        <v>17</v>
      </c>
    </row>
    <row r="1182" spans="1:3" x14ac:dyDescent="0.2">
      <c r="A1182" t="s">
        <v>1109</v>
      </c>
      <c r="B1182" t="s">
        <v>1110</v>
      </c>
      <c r="C1182" t="s">
        <v>14</v>
      </c>
    </row>
    <row r="1183" spans="1:3" x14ac:dyDescent="0.2">
      <c r="A1183" t="s">
        <v>1107</v>
      </c>
      <c r="B1183" t="s">
        <v>1108</v>
      </c>
      <c r="C1183" t="s">
        <v>45</v>
      </c>
    </row>
    <row r="1184" spans="1:3" x14ac:dyDescent="0.2">
      <c r="A1184" t="s">
        <v>1105</v>
      </c>
      <c r="B1184" t="s">
        <v>1106</v>
      </c>
      <c r="C1184" t="s">
        <v>14</v>
      </c>
    </row>
    <row r="1185" spans="1:3" x14ac:dyDescent="0.2">
      <c r="A1185" t="s">
        <v>1103</v>
      </c>
      <c r="B1185" t="s">
        <v>1104</v>
      </c>
      <c r="C1185" t="s">
        <v>17</v>
      </c>
    </row>
    <row r="1186" spans="1:3" x14ac:dyDescent="0.2">
      <c r="A1186" t="s">
        <v>1101</v>
      </c>
      <c r="B1186" t="s">
        <v>1102</v>
      </c>
      <c r="C1186" t="s">
        <v>14</v>
      </c>
    </row>
    <row r="1187" spans="1:3" x14ac:dyDescent="0.2">
      <c r="A1187" t="s">
        <v>1099</v>
      </c>
      <c r="B1187" t="s">
        <v>1100</v>
      </c>
      <c r="C1187" t="s">
        <v>14</v>
      </c>
    </row>
    <row r="1188" spans="1:3" x14ac:dyDescent="0.2">
      <c r="A1188" t="s">
        <v>1097</v>
      </c>
      <c r="B1188" t="s">
        <v>1098</v>
      </c>
      <c r="C1188" t="s">
        <v>17</v>
      </c>
    </row>
    <row r="1189" spans="1:3" x14ac:dyDescent="0.2">
      <c r="A1189" t="s">
        <v>1095</v>
      </c>
      <c r="B1189" t="s">
        <v>1096</v>
      </c>
      <c r="C1189" t="s">
        <v>14</v>
      </c>
    </row>
    <row r="1190" spans="1:3" x14ac:dyDescent="0.2">
      <c r="A1190" t="s">
        <v>1093</v>
      </c>
      <c r="B1190" t="s">
        <v>1094</v>
      </c>
      <c r="C1190" t="s">
        <v>17</v>
      </c>
    </row>
    <row r="1191" spans="1:3" x14ac:dyDescent="0.2">
      <c r="A1191" t="s">
        <v>1091</v>
      </c>
      <c r="B1191" t="s">
        <v>1092</v>
      </c>
      <c r="C1191" t="s">
        <v>14</v>
      </c>
    </row>
    <row r="1192" spans="1:3" x14ac:dyDescent="0.2">
      <c r="A1192" t="s">
        <v>1089</v>
      </c>
      <c r="B1192" t="s">
        <v>1090</v>
      </c>
      <c r="C1192" t="s">
        <v>14</v>
      </c>
    </row>
    <row r="1193" spans="1:3" x14ac:dyDescent="0.2">
      <c r="A1193" t="s">
        <v>1087</v>
      </c>
      <c r="B1193" t="s">
        <v>1088</v>
      </c>
      <c r="C1193" t="s">
        <v>17</v>
      </c>
    </row>
    <row r="1194" spans="1:3" x14ac:dyDescent="0.2">
      <c r="A1194" t="s">
        <v>1085</v>
      </c>
      <c r="B1194" t="s">
        <v>1086</v>
      </c>
      <c r="C1194" t="s">
        <v>14</v>
      </c>
    </row>
    <row r="1195" spans="1:3" x14ac:dyDescent="0.2">
      <c r="A1195" t="s">
        <v>1083</v>
      </c>
      <c r="B1195" t="s">
        <v>1084</v>
      </c>
      <c r="C1195" t="s">
        <v>14</v>
      </c>
    </row>
    <row r="1196" spans="1:3" x14ac:dyDescent="0.2">
      <c r="A1196" t="s">
        <v>1081</v>
      </c>
      <c r="B1196" t="s">
        <v>1082</v>
      </c>
      <c r="C1196" t="s">
        <v>14</v>
      </c>
    </row>
    <row r="1197" spans="1:3" x14ac:dyDescent="0.2">
      <c r="A1197" t="s">
        <v>1079</v>
      </c>
      <c r="B1197" t="s">
        <v>1080</v>
      </c>
      <c r="C1197" t="s">
        <v>14</v>
      </c>
    </row>
    <row r="1198" spans="1:3" x14ac:dyDescent="0.2">
      <c r="A1198" t="s">
        <v>1077</v>
      </c>
      <c r="B1198" t="s">
        <v>1078</v>
      </c>
      <c r="C1198" t="s">
        <v>14</v>
      </c>
    </row>
    <row r="1199" spans="1:3" x14ac:dyDescent="0.2">
      <c r="A1199" t="s">
        <v>1075</v>
      </c>
      <c r="B1199" t="s">
        <v>1076</v>
      </c>
      <c r="C1199" t="s">
        <v>17</v>
      </c>
    </row>
    <row r="1200" spans="1:3" x14ac:dyDescent="0.2">
      <c r="A1200" t="s">
        <v>1073</v>
      </c>
      <c r="B1200" t="s">
        <v>1074</v>
      </c>
      <c r="C1200" t="s">
        <v>17</v>
      </c>
    </row>
    <row r="1201" spans="1:3" x14ac:dyDescent="0.2">
      <c r="A1201" t="s">
        <v>1071</v>
      </c>
      <c r="B1201" t="s">
        <v>1072</v>
      </c>
      <c r="C1201" t="s">
        <v>17</v>
      </c>
    </row>
    <row r="1202" spans="1:3" x14ac:dyDescent="0.2">
      <c r="A1202" t="s">
        <v>1069</v>
      </c>
      <c r="B1202" t="s">
        <v>1070</v>
      </c>
      <c r="C1202" t="s">
        <v>38</v>
      </c>
    </row>
    <row r="1203" spans="1:3" x14ac:dyDescent="0.2">
      <c r="A1203" t="s">
        <v>1067</v>
      </c>
      <c r="B1203" t="s">
        <v>1068</v>
      </c>
      <c r="C1203" t="s">
        <v>14</v>
      </c>
    </row>
    <row r="1204" spans="1:3" x14ac:dyDescent="0.2">
      <c r="A1204" t="s">
        <v>1065</v>
      </c>
      <c r="B1204" t="s">
        <v>1066</v>
      </c>
      <c r="C1204" t="s">
        <v>14</v>
      </c>
    </row>
    <row r="1205" spans="1:3" x14ac:dyDescent="0.2">
      <c r="A1205" t="s">
        <v>1063</v>
      </c>
      <c r="B1205" t="s">
        <v>1064</v>
      </c>
      <c r="C1205" t="s">
        <v>45</v>
      </c>
    </row>
    <row r="1206" spans="1:3" x14ac:dyDescent="0.2">
      <c r="A1206" t="s">
        <v>1061</v>
      </c>
      <c r="B1206" t="s">
        <v>1062</v>
      </c>
      <c r="C1206" t="s">
        <v>45</v>
      </c>
    </row>
    <row r="1207" spans="1:3" x14ac:dyDescent="0.2">
      <c r="A1207" t="s">
        <v>1059</v>
      </c>
      <c r="B1207" t="s">
        <v>1060</v>
      </c>
      <c r="C1207" t="s">
        <v>14</v>
      </c>
    </row>
    <row r="1208" spans="1:3" x14ac:dyDescent="0.2">
      <c r="A1208" t="s">
        <v>1057</v>
      </c>
      <c r="B1208" t="s">
        <v>1058</v>
      </c>
      <c r="C1208" t="s">
        <v>14</v>
      </c>
    </row>
    <row r="1209" spans="1:3" x14ac:dyDescent="0.2">
      <c r="A1209" t="s">
        <v>1055</v>
      </c>
      <c r="B1209" t="s">
        <v>1056</v>
      </c>
      <c r="C1209" t="s">
        <v>14</v>
      </c>
    </row>
    <row r="1210" spans="1:3" x14ac:dyDescent="0.2">
      <c r="A1210" t="s">
        <v>1053</v>
      </c>
      <c r="B1210" t="s">
        <v>1054</v>
      </c>
      <c r="C1210" t="s">
        <v>17</v>
      </c>
    </row>
    <row r="1211" spans="1:3" x14ac:dyDescent="0.2">
      <c r="A1211" t="s">
        <v>1051</v>
      </c>
      <c r="B1211" t="s">
        <v>1052</v>
      </c>
      <c r="C1211" t="s">
        <v>17</v>
      </c>
    </row>
    <row r="1212" spans="1:3" x14ac:dyDescent="0.2">
      <c r="A1212" t="s">
        <v>1049</v>
      </c>
      <c r="B1212" t="s">
        <v>1050</v>
      </c>
      <c r="C1212" t="s">
        <v>38</v>
      </c>
    </row>
    <row r="1213" spans="1:3" x14ac:dyDescent="0.2">
      <c r="A1213" t="s">
        <v>1047</v>
      </c>
      <c r="B1213" t="s">
        <v>1048</v>
      </c>
      <c r="C1213" t="s">
        <v>38</v>
      </c>
    </row>
    <row r="1214" spans="1:3" x14ac:dyDescent="0.2">
      <c r="A1214" t="s">
        <v>1045</v>
      </c>
      <c r="B1214" t="s">
        <v>1046</v>
      </c>
      <c r="C1214" t="s">
        <v>38</v>
      </c>
    </row>
    <row r="1215" spans="1:3" x14ac:dyDescent="0.2">
      <c r="A1215" t="s">
        <v>1043</v>
      </c>
      <c r="B1215" t="s">
        <v>1044</v>
      </c>
      <c r="C1215" t="s">
        <v>14</v>
      </c>
    </row>
    <row r="1216" spans="1:3" x14ac:dyDescent="0.2">
      <c r="A1216" t="s">
        <v>1041</v>
      </c>
      <c r="B1216" t="s">
        <v>1042</v>
      </c>
      <c r="C1216" t="s">
        <v>14</v>
      </c>
    </row>
    <row r="1217" spans="1:3" x14ac:dyDescent="0.2">
      <c r="A1217" t="s">
        <v>1039</v>
      </c>
      <c r="B1217" t="s">
        <v>1040</v>
      </c>
      <c r="C1217" t="s">
        <v>14</v>
      </c>
    </row>
    <row r="1218" spans="1:3" x14ac:dyDescent="0.2">
      <c r="A1218" t="s">
        <v>1037</v>
      </c>
      <c r="B1218" t="s">
        <v>1038</v>
      </c>
      <c r="C1218" t="s">
        <v>45</v>
      </c>
    </row>
    <row r="1219" spans="1:3" x14ac:dyDescent="0.2">
      <c r="A1219" t="s">
        <v>1035</v>
      </c>
      <c r="B1219" t="s">
        <v>1036</v>
      </c>
      <c r="C1219" t="s">
        <v>14</v>
      </c>
    </row>
    <row r="1220" spans="1:3" x14ac:dyDescent="0.2">
      <c r="A1220" t="s">
        <v>1033</v>
      </c>
      <c r="B1220" t="s">
        <v>1034</v>
      </c>
      <c r="C1220" t="s">
        <v>14</v>
      </c>
    </row>
    <row r="1221" spans="1:3" x14ac:dyDescent="0.2">
      <c r="A1221" t="s">
        <v>1031</v>
      </c>
      <c r="B1221" t="s">
        <v>1032</v>
      </c>
      <c r="C1221" t="s">
        <v>14</v>
      </c>
    </row>
    <row r="1222" spans="1:3" x14ac:dyDescent="0.2">
      <c r="A1222" t="s">
        <v>1029</v>
      </c>
      <c r="B1222" t="s">
        <v>1030</v>
      </c>
      <c r="C1222" t="s">
        <v>45</v>
      </c>
    </row>
    <row r="1223" spans="1:3" x14ac:dyDescent="0.2">
      <c r="A1223" t="s">
        <v>1027</v>
      </c>
      <c r="B1223" t="s">
        <v>1028</v>
      </c>
      <c r="C1223" t="s">
        <v>45</v>
      </c>
    </row>
    <row r="1224" spans="1:3" x14ac:dyDescent="0.2">
      <c r="A1224" t="s">
        <v>1025</v>
      </c>
      <c r="B1224" t="s">
        <v>1026</v>
      </c>
      <c r="C1224" t="s">
        <v>14</v>
      </c>
    </row>
    <row r="1225" spans="1:3" x14ac:dyDescent="0.2">
      <c r="A1225" t="s">
        <v>1023</v>
      </c>
      <c r="B1225" t="s">
        <v>1024</v>
      </c>
      <c r="C1225" t="s">
        <v>45</v>
      </c>
    </row>
    <row r="1226" spans="1:3" x14ac:dyDescent="0.2">
      <c r="A1226" t="s">
        <v>1021</v>
      </c>
      <c r="B1226" t="s">
        <v>1022</v>
      </c>
      <c r="C1226" t="s">
        <v>14</v>
      </c>
    </row>
    <row r="1227" spans="1:3" x14ac:dyDescent="0.2">
      <c r="A1227" t="s">
        <v>1019</v>
      </c>
      <c r="B1227" t="s">
        <v>1020</v>
      </c>
      <c r="C1227" t="s">
        <v>45</v>
      </c>
    </row>
    <row r="1228" spans="1:3" x14ac:dyDescent="0.2">
      <c r="A1228" t="s">
        <v>1017</v>
      </c>
      <c r="B1228" t="s">
        <v>1018</v>
      </c>
      <c r="C1228" t="s">
        <v>38</v>
      </c>
    </row>
    <row r="1229" spans="1:3" x14ac:dyDescent="0.2">
      <c r="A1229" t="s">
        <v>1015</v>
      </c>
      <c r="B1229" t="s">
        <v>1016</v>
      </c>
      <c r="C1229" t="s">
        <v>38</v>
      </c>
    </row>
    <row r="1230" spans="1:3" x14ac:dyDescent="0.2">
      <c r="A1230" t="s">
        <v>1013</v>
      </c>
      <c r="B1230" t="s">
        <v>1014</v>
      </c>
      <c r="C1230" t="s">
        <v>14</v>
      </c>
    </row>
    <row r="1231" spans="1:3" x14ac:dyDescent="0.2">
      <c r="A1231" t="s">
        <v>1011</v>
      </c>
      <c r="B1231" t="s">
        <v>1012</v>
      </c>
      <c r="C1231" t="s">
        <v>45</v>
      </c>
    </row>
    <row r="1232" spans="1:3" x14ac:dyDescent="0.2">
      <c r="A1232" t="s">
        <v>1009</v>
      </c>
      <c r="B1232" t="s">
        <v>1010</v>
      </c>
      <c r="C1232" t="s">
        <v>14</v>
      </c>
    </row>
    <row r="1233" spans="1:3" x14ac:dyDescent="0.2">
      <c r="A1233" t="s">
        <v>1007</v>
      </c>
      <c r="B1233" t="s">
        <v>1008</v>
      </c>
      <c r="C1233" t="s">
        <v>14</v>
      </c>
    </row>
    <row r="1234" spans="1:3" x14ac:dyDescent="0.2">
      <c r="A1234" t="s">
        <v>1005</v>
      </c>
      <c r="B1234" t="s">
        <v>1006</v>
      </c>
      <c r="C1234" t="s">
        <v>45</v>
      </c>
    </row>
    <row r="1235" spans="1:3" x14ac:dyDescent="0.2">
      <c r="A1235" t="s">
        <v>1003</v>
      </c>
      <c r="B1235" t="s">
        <v>1004</v>
      </c>
      <c r="C1235" t="s">
        <v>14</v>
      </c>
    </row>
    <row r="1236" spans="1:3" x14ac:dyDescent="0.2">
      <c r="A1236" t="s">
        <v>1001</v>
      </c>
      <c r="B1236" t="s">
        <v>1002</v>
      </c>
      <c r="C1236" t="s">
        <v>38</v>
      </c>
    </row>
    <row r="1237" spans="1:3" x14ac:dyDescent="0.2">
      <c r="A1237" t="s">
        <v>999</v>
      </c>
      <c r="B1237" t="s">
        <v>1000</v>
      </c>
      <c r="C1237" t="s">
        <v>14</v>
      </c>
    </row>
    <row r="1238" spans="1:3" x14ac:dyDescent="0.2">
      <c r="A1238" t="s">
        <v>997</v>
      </c>
      <c r="B1238" t="s">
        <v>998</v>
      </c>
      <c r="C1238" t="s">
        <v>14</v>
      </c>
    </row>
    <row r="1239" spans="1:3" x14ac:dyDescent="0.2">
      <c r="A1239" t="s">
        <v>995</v>
      </c>
      <c r="B1239" t="s">
        <v>996</v>
      </c>
      <c r="C1239" t="s">
        <v>45</v>
      </c>
    </row>
    <row r="1240" spans="1:3" x14ac:dyDescent="0.2">
      <c r="A1240" t="s">
        <v>993</v>
      </c>
      <c r="B1240" t="s">
        <v>994</v>
      </c>
      <c r="C1240" t="s">
        <v>45</v>
      </c>
    </row>
    <row r="1241" spans="1:3" x14ac:dyDescent="0.2">
      <c r="A1241" t="s">
        <v>991</v>
      </c>
      <c r="B1241" t="s">
        <v>992</v>
      </c>
      <c r="C1241" t="s">
        <v>14</v>
      </c>
    </row>
    <row r="1242" spans="1:3" x14ac:dyDescent="0.2">
      <c r="A1242" t="s">
        <v>989</v>
      </c>
      <c r="B1242" t="s">
        <v>990</v>
      </c>
      <c r="C1242" t="s">
        <v>17</v>
      </c>
    </row>
    <row r="1243" spans="1:3" x14ac:dyDescent="0.2">
      <c r="A1243" t="s">
        <v>987</v>
      </c>
      <c r="B1243" t="s">
        <v>988</v>
      </c>
      <c r="C1243" t="s">
        <v>17</v>
      </c>
    </row>
    <row r="1244" spans="1:3" x14ac:dyDescent="0.2">
      <c r="A1244" t="s">
        <v>985</v>
      </c>
      <c r="B1244" t="s">
        <v>986</v>
      </c>
      <c r="C1244" t="s">
        <v>17</v>
      </c>
    </row>
    <row r="1245" spans="1:3" x14ac:dyDescent="0.2">
      <c r="A1245" t="s">
        <v>983</v>
      </c>
      <c r="B1245" t="s">
        <v>984</v>
      </c>
      <c r="C1245" t="s">
        <v>45</v>
      </c>
    </row>
    <row r="1246" spans="1:3" x14ac:dyDescent="0.2">
      <c r="A1246" t="s">
        <v>981</v>
      </c>
      <c r="B1246" t="s">
        <v>982</v>
      </c>
      <c r="C1246" t="s">
        <v>14</v>
      </c>
    </row>
    <row r="1247" spans="1:3" x14ac:dyDescent="0.2">
      <c r="A1247" t="s">
        <v>979</v>
      </c>
      <c r="B1247" t="s">
        <v>980</v>
      </c>
      <c r="C1247" t="s">
        <v>45</v>
      </c>
    </row>
    <row r="1248" spans="1:3" x14ac:dyDescent="0.2">
      <c r="A1248" t="s">
        <v>977</v>
      </c>
      <c r="B1248" t="s">
        <v>978</v>
      </c>
      <c r="C1248" t="s">
        <v>45</v>
      </c>
    </row>
    <row r="1249" spans="1:3" x14ac:dyDescent="0.2">
      <c r="A1249" t="s">
        <v>975</v>
      </c>
      <c r="B1249" t="s">
        <v>976</v>
      </c>
      <c r="C1249" t="s">
        <v>45</v>
      </c>
    </row>
    <row r="1250" spans="1:3" x14ac:dyDescent="0.2">
      <c r="A1250" t="s">
        <v>973</v>
      </c>
      <c r="B1250" t="s">
        <v>974</v>
      </c>
      <c r="C1250" t="s">
        <v>14</v>
      </c>
    </row>
    <row r="1251" spans="1:3" x14ac:dyDescent="0.2">
      <c r="A1251" t="s">
        <v>971</v>
      </c>
      <c r="B1251" t="s">
        <v>972</v>
      </c>
      <c r="C1251" t="s">
        <v>17</v>
      </c>
    </row>
    <row r="1252" spans="1:3" x14ac:dyDescent="0.2">
      <c r="A1252" t="s">
        <v>969</v>
      </c>
      <c r="B1252" t="s">
        <v>970</v>
      </c>
      <c r="C1252" t="s">
        <v>38</v>
      </c>
    </row>
    <row r="1253" spans="1:3" x14ac:dyDescent="0.2">
      <c r="A1253" t="s">
        <v>967</v>
      </c>
      <c r="B1253" t="s">
        <v>968</v>
      </c>
      <c r="C1253" t="s">
        <v>14</v>
      </c>
    </row>
    <row r="1254" spans="1:3" x14ac:dyDescent="0.2">
      <c r="A1254" t="s">
        <v>965</v>
      </c>
      <c r="B1254" t="s">
        <v>966</v>
      </c>
      <c r="C1254" t="s">
        <v>17</v>
      </c>
    </row>
    <row r="1255" spans="1:3" x14ac:dyDescent="0.2">
      <c r="A1255" t="s">
        <v>963</v>
      </c>
      <c r="B1255" t="s">
        <v>964</v>
      </c>
      <c r="C1255" t="s">
        <v>14</v>
      </c>
    </row>
    <row r="1256" spans="1:3" x14ac:dyDescent="0.2">
      <c r="A1256" t="s">
        <v>961</v>
      </c>
      <c r="B1256" t="s">
        <v>962</v>
      </c>
      <c r="C1256" t="s">
        <v>17</v>
      </c>
    </row>
    <row r="1257" spans="1:3" x14ac:dyDescent="0.2">
      <c r="A1257" t="s">
        <v>959</v>
      </c>
      <c r="B1257" t="s">
        <v>960</v>
      </c>
      <c r="C1257" t="s">
        <v>17</v>
      </c>
    </row>
    <row r="1258" spans="1:3" x14ac:dyDescent="0.2">
      <c r="A1258" t="s">
        <v>957</v>
      </c>
      <c r="B1258" t="s">
        <v>958</v>
      </c>
      <c r="C1258" t="s">
        <v>17</v>
      </c>
    </row>
    <row r="1259" spans="1:3" x14ac:dyDescent="0.2">
      <c r="A1259" t="s">
        <v>955</v>
      </c>
      <c r="B1259" t="s">
        <v>956</v>
      </c>
      <c r="C1259" t="s">
        <v>14</v>
      </c>
    </row>
    <row r="1260" spans="1:3" x14ac:dyDescent="0.2">
      <c r="A1260" t="s">
        <v>953</v>
      </c>
      <c r="B1260" t="s">
        <v>954</v>
      </c>
      <c r="C1260" t="s">
        <v>45</v>
      </c>
    </row>
    <row r="1261" spans="1:3" x14ac:dyDescent="0.2">
      <c r="A1261" t="s">
        <v>951</v>
      </c>
      <c r="B1261" t="s">
        <v>952</v>
      </c>
      <c r="C1261" t="s">
        <v>14</v>
      </c>
    </row>
    <row r="1262" spans="1:3" x14ac:dyDescent="0.2">
      <c r="A1262" t="s">
        <v>949</v>
      </c>
      <c r="B1262" t="s">
        <v>950</v>
      </c>
      <c r="C1262" t="s">
        <v>17</v>
      </c>
    </row>
    <row r="1263" spans="1:3" x14ac:dyDescent="0.2">
      <c r="A1263" t="s">
        <v>947</v>
      </c>
      <c r="B1263" t="s">
        <v>948</v>
      </c>
      <c r="C1263" t="s">
        <v>45</v>
      </c>
    </row>
    <row r="1264" spans="1:3" x14ac:dyDescent="0.2">
      <c r="A1264" t="s">
        <v>945</v>
      </c>
      <c r="B1264" t="s">
        <v>946</v>
      </c>
      <c r="C1264" t="s">
        <v>17</v>
      </c>
    </row>
    <row r="1265" spans="1:3" x14ac:dyDescent="0.2">
      <c r="A1265" t="s">
        <v>943</v>
      </c>
      <c r="B1265" t="s">
        <v>944</v>
      </c>
      <c r="C1265" t="s">
        <v>45</v>
      </c>
    </row>
    <row r="1266" spans="1:3" x14ac:dyDescent="0.2">
      <c r="A1266" t="s">
        <v>941</v>
      </c>
      <c r="B1266" t="s">
        <v>942</v>
      </c>
      <c r="C1266" t="s">
        <v>38</v>
      </c>
    </row>
    <row r="1267" spans="1:3" x14ac:dyDescent="0.2">
      <c r="A1267" t="s">
        <v>939</v>
      </c>
      <c r="B1267" t="s">
        <v>940</v>
      </c>
      <c r="C1267" t="s">
        <v>38</v>
      </c>
    </row>
    <row r="1268" spans="1:3" x14ac:dyDescent="0.2">
      <c r="A1268" t="s">
        <v>937</v>
      </c>
      <c r="B1268" t="s">
        <v>938</v>
      </c>
      <c r="C1268" t="s">
        <v>14</v>
      </c>
    </row>
    <row r="1269" spans="1:3" x14ac:dyDescent="0.2">
      <c r="A1269" t="s">
        <v>935</v>
      </c>
      <c r="B1269" t="s">
        <v>936</v>
      </c>
      <c r="C1269" t="s">
        <v>14</v>
      </c>
    </row>
    <row r="1270" spans="1:3" x14ac:dyDescent="0.2">
      <c r="A1270" t="s">
        <v>933</v>
      </c>
      <c r="B1270" t="s">
        <v>934</v>
      </c>
      <c r="C1270" t="s">
        <v>14</v>
      </c>
    </row>
    <row r="1271" spans="1:3" x14ac:dyDescent="0.2">
      <c r="A1271" t="s">
        <v>931</v>
      </c>
      <c r="B1271" t="s">
        <v>932</v>
      </c>
      <c r="C1271" t="s">
        <v>17</v>
      </c>
    </row>
    <row r="1272" spans="1:3" x14ac:dyDescent="0.2">
      <c r="A1272" t="s">
        <v>929</v>
      </c>
      <c r="B1272" t="s">
        <v>930</v>
      </c>
      <c r="C1272" t="s">
        <v>14</v>
      </c>
    </row>
    <row r="1273" spans="1:3" x14ac:dyDescent="0.2">
      <c r="A1273" t="s">
        <v>927</v>
      </c>
      <c r="B1273" t="s">
        <v>928</v>
      </c>
      <c r="C1273" t="s">
        <v>45</v>
      </c>
    </row>
    <row r="1274" spans="1:3" x14ac:dyDescent="0.2">
      <c r="A1274" t="s">
        <v>925</v>
      </c>
      <c r="B1274" t="s">
        <v>926</v>
      </c>
      <c r="C1274" t="s">
        <v>14</v>
      </c>
    </row>
    <row r="1275" spans="1:3" x14ac:dyDescent="0.2">
      <c r="A1275" t="s">
        <v>923</v>
      </c>
      <c r="B1275" t="s">
        <v>924</v>
      </c>
      <c r="C1275" t="s">
        <v>17</v>
      </c>
    </row>
    <row r="1276" spans="1:3" x14ac:dyDescent="0.2">
      <c r="A1276" t="s">
        <v>921</v>
      </c>
      <c r="B1276" t="s">
        <v>922</v>
      </c>
      <c r="C1276" t="s">
        <v>45</v>
      </c>
    </row>
    <row r="1277" spans="1:3" x14ac:dyDescent="0.2">
      <c r="A1277" t="s">
        <v>919</v>
      </c>
      <c r="B1277" t="s">
        <v>920</v>
      </c>
      <c r="C1277" t="s">
        <v>14</v>
      </c>
    </row>
    <row r="1278" spans="1:3" x14ac:dyDescent="0.2">
      <c r="A1278" t="s">
        <v>917</v>
      </c>
      <c r="B1278" t="s">
        <v>918</v>
      </c>
      <c r="C1278" t="s">
        <v>14</v>
      </c>
    </row>
    <row r="1279" spans="1:3" x14ac:dyDescent="0.2">
      <c r="A1279" t="s">
        <v>915</v>
      </c>
      <c r="B1279" t="s">
        <v>916</v>
      </c>
      <c r="C1279" t="s">
        <v>14</v>
      </c>
    </row>
    <row r="1280" spans="1:3" x14ac:dyDescent="0.2">
      <c r="A1280" t="s">
        <v>913</v>
      </c>
      <c r="B1280" t="s">
        <v>914</v>
      </c>
      <c r="C1280" t="s">
        <v>17</v>
      </c>
    </row>
    <row r="1281" spans="1:3" x14ac:dyDescent="0.2">
      <c r="A1281" t="s">
        <v>911</v>
      </c>
      <c r="B1281" t="s">
        <v>912</v>
      </c>
      <c r="C1281" t="s">
        <v>17</v>
      </c>
    </row>
    <row r="1282" spans="1:3" x14ac:dyDescent="0.2">
      <c r="A1282" t="s">
        <v>909</v>
      </c>
      <c r="B1282" t="s">
        <v>910</v>
      </c>
      <c r="C1282" t="s">
        <v>14</v>
      </c>
    </row>
    <row r="1283" spans="1:3" x14ac:dyDescent="0.2">
      <c r="A1283" t="s">
        <v>907</v>
      </c>
      <c r="B1283" t="s">
        <v>908</v>
      </c>
      <c r="C1283" t="s">
        <v>14</v>
      </c>
    </row>
    <row r="1284" spans="1:3" x14ac:dyDescent="0.2">
      <c r="A1284" t="s">
        <v>905</v>
      </c>
      <c r="B1284" t="s">
        <v>906</v>
      </c>
      <c r="C1284" t="s">
        <v>14</v>
      </c>
    </row>
    <row r="1285" spans="1:3" x14ac:dyDescent="0.2">
      <c r="A1285" t="s">
        <v>903</v>
      </c>
      <c r="B1285" t="s">
        <v>904</v>
      </c>
      <c r="C1285" t="s">
        <v>14</v>
      </c>
    </row>
    <row r="1286" spans="1:3" x14ac:dyDescent="0.2">
      <c r="A1286" t="s">
        <v>901</v>
      </c>
      <c r="B1286" t="s">
        <v>902</v>
      </c>
      <c r="C1286" t="s">
        <v>45</v>
      </c>
    </row>
    <row r="1287" spans="1:3" x14ac:dyDescent="0.2">
      <c r="A1287" t="s">
        <v>899</v>
      </c>
      <c r="B1287" t="s">
        <v>900</v>
      </c>
      <c r="C1287" t="s">
        <v>17</v>
      </c>
    </row>
    <row r="1288" spans="1:3" x14ac:dyDescent="0.2">
      <c r="A1288" t="s">
        <v>897</v>
      </c>
      <c r="B1288" t="s">
        <v>898</v>
      </c>
      <c r="C1288" t="s">
        <v>17</v>
      </c>
    </row>
    <row r="1289" spans="1:3" x14ac:dyDescent="0.2">
      <c r="A1289" t="s">
        <v>895</v>
      </c>
      <c r="B1289" t="s">
        <v>896</v>
      </c>
      <c r="C1289" t="s">
        <v>17</v>
      </c>
    </row>
    <row r="1290" spans="1:3" x14ac:dyDescent="0.2">
      <c r="A1290" t="s">
        <v>893</v>
      </c>
      <c r="B1290" t="s">
        <v>894</v>
      </c>
      <c r="C1290" t="s">
        <v>45</v>
      </c>
    </row>
    <row r="1291" spans="1:3" x14ac:dyDescent="0.2">
      <c r="A1291" t="s">
        <v>891</v>
      </c>
      <c r="B1291" t="s">
        <v>892</v>
      </c>
      <c r="C1291" t="s">
        <v>45</v>
      </c>
    </row>
    <row r="1292" spans="1:3" x14ac:dyDescent="0.2">
      <c r="A1292" t="s">
        <v>889</v>
      </c>
      <c r="B1292" t="s">
        <v>890</v>
      </c>
      <c r="C1292" t="s">
        <v>14</v>
      </c>
    </row>
    <row r="1293" spans="1:3" x14ac:dyDescent="0.2">
      <c r="A1293" t="s">
        <v>887</v>
      </c>
      <c r="B1293" t="s">
        <v>888</v>
      </c>
      <c r="C1293" t="s">
        <v>14</v>
      </c>
    </row>
    <row r="1294" spans="1:3" x14ac:dyDescent="0.2">
      <c r="A1294" t="s">
        <v>886</v>
      </c>
      <c r="C1294" t="s">
        <v>38</v>
      </c>
    </row>
    <row r="1295" spans="1:3" x14ac:dyDescent="0.2">
      <c r="A1295" t="s">
        <v>884</v>
      </c>
      <c r="B1295" t="s">
        <v>885</v>
      </c>
      <c r="C1295" t="s">
        <v>14</v>
      </c>
    </row>
    <row r="1296" spans="1:3" x14ac:dyDescent="0.2">
      <c r="A1296" t="s">
        <v>882</v>
      </c>
      <c r="B1296" t="s">
        <v>883</v>
      </c>
      <c r="C1296" t="s">
        <v>38</v>
      </c>
    </row>
    <row r="1297" spans="1:3" x14ac:dyDescent="0.2">
      <c r="A1297" t="s">
        <v>880</v>
      </c>
      <c r="B1297" t="s">
        <v>881</v>
      </c>
      <c r="C1297" t="s">
        <v>14</v>
      </c>
    </row>
    <row r="1298" spans="1:3" x14ac:dyDescent="0.2">
      <c r="A1298" t="s">
        <v>878</v>
      </c>
      <c r="B1298" t="s">
        <v>879</v>
      </c>
      <c r="C1298" t="s">
        <v>45</v>
      </c>
    </row>
    <row r="1299" spans="1:3" x14ac:dyDescent="0.2">
      <c r="A1299" t="s">
        <v>876</v>
      </c>
      <c r="B1299" t="s">
        <v>877</v>
      </c>
      <c r="C1299" t="s">
        <v>14</v>
      </c>
    </row>
    <row r="1300" spans="1:3" x14ac:dyDescent="0.2">
      <c r="A1300" t="s">
        <v>874</v>
      </c>
      <c r="B1300" t="s">
        <v>875</v>
      </c>
      <c r="C1300" t="s">
        <v>14</v>
      </c>
    </row>
    <row r="1301" spans="1:3" x14ac:dyDescent="0.2">
      <c r="A1301" t="s">
        <v>872</v>
      </c>
      <c r="B1301" t="s">
        <v>873</v>
      </c>
      <c r="C1301" t="s">
        <v>14</v>
      </c>
    </row>
    <row r="1302" spans="1:3" x14ac:dyDescent="0.2">
      <c r="A1302" t="s">
        <v>870</v>
      </c>
      <c r="B1302" t="s">
        <v>871</v>
      </c>
      <c r="C1302" t="s">
        <v>17</v>
      </c>
    </row>
    <row r="1303" spans="1:3" x14ac:dyDescent="0.2">
      <c r="A1303" t="s">
        <v>868</v>
      </c>
      <c r="B1303" t="s">
        <v>869</v>
      </c>
      <c r="C1303" t="s">
        <v>38</v>
      </c>
    </row>
    <row r="1304" spans="1:3" x14ac:dyDescent="0.2">
      <c r="A1304" t="s">
        <v>866</v>
      </c>
      <c r="B1304" t="s">
        <v>867</v>
      </c>
      <c r="C1304" t="s">
        <v>14</v>
      </c>
    </row>
    <row r="1305" spans="1:3" x14ac:dyDescent="0.2">
      <c r="A1305" t="s">
        <v>864</v>
      </c>
      <c r="B1305" t="s">
        <v>865</v>
      </c>
      <c r="C1305" t="s">
        <v>14</v>
      </c>
    </row>
    <row r="1306" spans="1:3" x14ac:dyDescent="0.2">
      <c r="A1306" t="s">
        <v>862</v>
      </c>
      <c r="B1306" t="s">
        <v>863</v>
      </c>
      <c r="C1306" t="s">
        <v>45</v>
      </c>
    </row>
    <row r="1307" spans="1:3" x14ac:dyDescent="0.2">
      <c r="A1307" t="s">
        <v>860</v>
      </c>
      <c r="B1307" t="s">
        <v>861</v>
      </c>
      <c r="C1307" t="s">
        <v>14</v>
      </c>
    </row>
    <row r="1308" spans="1:3" x14ac:dyDescent="0.2">
      <c r="A1308" t="s">
        <v>858</v>
      </c>
      <c r="B1308" t="s">
        <v>859</v>
      </c>
      <c r="C1308" t="s">
        <v>17</v>
      </c>
    </row>
    <row r="1309" spans="1:3" x14ac:dyDescent="0.2">
      <c r="A1309" t="s">
        <v>856</v>
      </c>
      <c r="B1309" t="s">
        <v>857</v>
      </c>
      <c r="C1309" t="s">
        <v>17</v>
      </c>
    </row>
    <row r="1310" spans="1:3" x14ac:dyDescent="0.2">
      <c r="A1310" t="s">
        <v>854</v>
      </c>
      <c r="B1310" t="s">
        <v>855</v>
      </c>
      <c r="C1310" t="s">
        <v>38</v>
      </c>
    </row>
    <row r="1311" spans="1:3" x14ac:dyDescent="0.2">
      <c r="A1311" t="s">
        <v>852</v>
      </c>
      <c r="B1311" t="s">
        <v>853</v>
      </c>
      <c r="C1311" t="s">
        <v>17</v>
      </c>
    </row>
    <row r="1312" spans="1:3" x14ac:dyDescent="0.2">
      <c r="A1312" t="s">
        <v>850</v>
      </c>
      <c r="B1312" t="s">
        <v>851</v>
      </c>
      <c r="C1312" t="s">
        <v>17</v>
      </c>
    </row>
    <row r="1313" spans="1:3" x14ac:dyDescent="0.2">
      <c r="A1313" t="s">
        <v>848</v>
      </c>
      <c r="B1313" t="s">
        <v>849</v>
      </c>
      <c r="C1313" t="s">
        <v>14</v>
      </c>
    </row>
    <row r="1314" spans="1:3" x14ac:dyDescent="0.2">
      <c r="A1314" t="s">
        <v>846</v>
      </c>
      <c r="B1314" t="s">
        <v>847</v>
      </c>
      <c r="C1314" t="s">
        <v>14</v>
      </c>
    </row>
    <row r="1315" spans="1:3" x14ac:dyDescent="0.2">
      <c r="A1315" t="s">
        <v>844</v>
      </c>
      <c r="B1315" t="s">
        <v>845</v>
      </c>
      <c r="C1315" t="s">
        <v>14</v>
      </c>
    </row>
    <row r="1316" spans="1:3" x14ac:dyDescent="0.2">
      <c r="A1316" t="s">
        <v>842</v>
      </c>
      <c r="B1316" t="s">
        <v>843</v>
      </c>
      <c r="C1316" t="s">
        <v>17</v>
      </c>
    </row>
    <row r="1317" spans="1:3" x14ac:dyDescent="0.2">
      <c r="A1317" t="s">
        <v>840</v>
      </c>
      <c r="B1317" t="s">
        <v>841</v>
      </c>
      <c r="C1317" t="s">
        <v>45</v>
      </c>
    </row>
    <row r="1318" spans="1:3" x14ac:dyDescent="0.2">
      <c r="A1318" t="s">
        <v>838</v>
      </c>
      <c r="B1318" t="s">
        <v>839</v>
      </c>
      <c r="C1318" t="s">
        <v>14</v>
      </c>
    </row>
    <row r="1319" spans="1:3" x14ac:dyDescent="0.2">
      <c r="A1319" t="s">
        <v>836</v>
      </c>
      <c r="B1319" t="s">
        <v>837</v>
      </c>
      <c r="C1319" t="s">
        <v>38</v>
      </c>
    </row>
    <row r="1320" spans="1:3" x14ac:dyDescent="0.2">
      <c r="A1320" t="s">
        <v>834</v>
      </c>
      <c r="B1320" t="s">
        <v>835</v>
      </c>
      <c r="C1320" t="s">
        <v>17</v>
      </c>
    </row>
    <row r="1321" spans="1:3" x14ac:dyDescent="0.2">
      <c r="A1321" t="s">
        <v>832</v>
      </c>
      <c r="B1321" t="s">
        <v>833</v>
      </c>
      <c r="C1321" t="s">
        <v>17</v>
      </c>
    </row>
    <row r="1322" spans="1:3" x14ac:dyDescent="0.2">
      <c r="A1322" t="s">
        <v>830</v>
      </c>
      <c r="B1322" t="s">
        <v>831</v>
      </c>
      <c r="C1322" t="s">
        <v>45</v>
      </c>
    </row>
    <row r="1323" spans="1:3" x14ac:dyDescent="0.2">
      <c r="A1323" t="s">
        <v>828</v>
      </c>
      <c r="B1323" t="s">
        <v>829</v>
      </c>
      <c r="C1323" t="s">
        <v>17</v>
      </c>
    </row>
    <row r="1324" spans="1:3" x14ac:dyDescent="0.2">
      <c r="A1324" t="s">
        <v>826</v>
      </c>
      <c r="B1324" t="s">
        <v>827</v>
      </c>
      <c r="C1324" t="s">
        <v>14</v>
      </c>
    </row>
    <row r="1325" spans="1:3" x14ac:dyDescent="0.2">
      <c r="A1325" t="s">
        <v>824</v>
      </c>
      <c r="B1325" t="s">
        <v>825</v>
      </c>
      <c r="C1325" t="s">
        <v>17</v>
      </c>
    </row>
    <row r="1326" spans="1:3" x14ac:dyDescent="0.2">
      <c r="A1326" t="s">
        <v>822</v>
      </c>
      <c r="B1326" t="s">
        <v>823</v>
      </c>
      <c r="C1326" t="s">
        <v>14</v>
      </c>
    </row>
    <row r="1327" spans="1:3" x14ac:dyDescent="0.2">
      <c r="A1327" t="s">
        <v>820</v>
      </c>
      <c r="B1327" t="s">
        <v>821</v>
      </c>
      <c r="C1327" t="s">
        <v>45</v>
      </c>
    </row>
    <row r="1328" spans="1:3" x14ac:dyDescent="0.2">
      <c r="A1328" t="s">
        <v>818</v>
      </c>
      <c r="B1328" t="s">
        <v>819</v>
      </c>
      <c r="C1328" t="s">
        <v>14</v>
      </c>
    </row>
    <row r="1329" spans="1:3" x14ac:dyDescent="0.2">
      <c r="A1329" t="s">
        <v>816</v>
      </c>
      <c r="B1329" t="s">
        <v>817</v>
      </c>
      <c r="C1329" t="s">
        <v>14</v>
      </c>
    </row>
    <row r="1330" spans="1:3" x14ac:dyDescent="0.2">
      <c r="A1330" t="s">
        <v>814</v>
      </c>
      <c r="B1330" t="s">
        <v>815</v>
      </c>
      <c r="C1330" t="s">
        <v>14</v>
      </c>
    </row>
    <row r="1331" spans="1:3" x14ac:dyDescent="0.2">
      <c r="A1331" t="s">
        <v>812</v>
      </c>
      <c r="B1331" t="s">
        <v>813</v>
      </c>
      <c r="C1331" t="s">
        <v>17</v>
      </c>
    </row>
    <row r="1332" spans="1:3" x14ac:dyDescent="0.2">
      <c r="A1332" t="s">
        <v>810</v>
      </c>
      <c r="B1332" t="s">
        <v>811</v>
      </c>
      <c r="C1332" t="s">
        <v>17</v>
      </c>
    </row>
    <row r="1333" spans="1:3" x14ac:dyDescent="0.2">
      <c r="A1333" t="s">
        <v>808</v>
      </c>
      <c r="B1333" t="s">
        <v>809</v>
      </c>
      <c r="C1333" t="s">
        <v>14</v>
      </c>
    </row>
    <row r="1334" spans="1:3" x14ac:dyDescent="0.2">
      <c r="A1334" t="s">
        <v>806</v>
      </c>
      <c r="B1334" t="s">
        <v>807</v>
      </c>
      <c r="C1334" t="s">
        <v>14</v>
      </c>
    </row>
    <row r="1335" spans="1:3" x14ac:dyDescent="0.2">
      <c r="A1335" t="s">
        <v>804</v>
      </c>
      <c r="B1335" t="s">
        <v>805</v>
      </c>
      <c r="C1335" t="s">
        <v>17</v>
      </c>
    </row>
    <row r="1336" spans="1:3" x14ac:dyDescent="0.2">
      <c r="A1336" t="s">
        <v>803</v>
      </c>
      <c r="C1336" t="s">
        <v>38</v>
      </c>
    </row>
    <row r="1337" spans="1:3" x14ac:dyDescent="0.2">
      <c r="A1337" t="s">
        <v>801</v>
      </c>
      <c r="B1337" t="s">
        <v>802</v>
      </c>
      <c r="C1337" t="s">
        <v>45</v>
      </c>
    </row>
    <row r="1338" spans="1:3" x14ac:dyDescent="0.2">
      <c r="A1338" t="s">
        <v>799</v>
      </c>
      <c r="B1338" t="s">
        <v>800</v>
      </c>
      <c r="C1338" t="s">
        <v>17</v>
      </c>
    </row>
    <row r="1339" spans="1:3" x14ac:dyDescent="0.2">
      <c r="A1339" t="s">
        <v>797</v>
      </c>
      <c r="B1339" t="s">
        <v>798</v>
      </c>
      <c r="C1339" t="s">
        <v>14</v>
      </c>
    </row>
    <row r="1340" spans="1:3" x14ac:dyDescent="0.2">
      <c r="A1340" t="s">
        <v>795</v>
      </c>
      <c r="B1340" t="s">
        <v>796</v>
      </c>
      <c r="C1340" t="s">
        <v>45</v>
      </c>
    </row>
    <row r="1341" spans="1:3" x14ac:dyDescent="0.2">
      <c r="A1341" t="s">
        <v>793</v>
      </c>
      <c r="B1341" t="s">
        <v>794</v>
      </c>
      <c r="C1341" t="s">
        <v>17</v>
      </c>
    </row>
    <row r="1342" spans="1:3" x14ac:dyDescent="0.2">
      <c r="A1342" t="s">
        <v>791</v>
      </c>
      <c r="B1342" t="s">
        <v>792</v>
      </c>
      <c r="C1342" t="s">
        <v>14</v>
      </c>
    </row>
    <row r="1343" spans="1:3" x14ac:dyDescent="0.2">
      <c r="A1343" t="s">
        <v>789</v>
      </c>
      <c r="B1343" t="s">
        <v>790</v>
      </c>
      <c r="C1343" t="s">
        <v>14</v>
      </c>
    </row>
    <row r="1344" spans="1:3" x14ac:dyDescent="0.2">
      <c r="A1344" t="s">
        <v>787</v>
      </c>
      <c r="B1344" t="s">
        <v>788</v>
      </c>
      <c r="C1344" t="s">
        <v>17</v>
      </c>
    </row>
    <row r="1345" spans="1:3" x14ac:dyDescent="0.2">
      <c r="A1345" t="s">
        <v>786</v>
      </c>
      <c r="C1345" t="s">
        <v>38</v>
      </c>
    </row>
    <row r="1346" spans="1:3" x14ac:dyDescent="0.2">
      <c r="A1346" t="s">
        <v>784</v>
      </c>
      <c r="B1346" t="s">
        <v>785</v>
      </c>
      <c r="C1346" t="s">
        <v>38</v>
      </c>
    </row>
    <row r="1347" spans="1:3" x14ac:dyDescent="0.2">
      <c r="A1347" t="s">
        <v>782</v>
      </c>
      <c r="B1347" t="s">
        <v>783</v>
      </c>
      <c r="C1347" t="s">
        <v>14</v>
      </c>
    </row>
    <row r="1348" spans="1:3" x14ac:dyDescent="0.2">
      <c r="A1348" t="s">
        <v>780</v>
      </c>
      <c r="B1348" t="s">
        <v>781</v>
      </c>
      <c r="C1348" t="s">
        <v>45</v>
      </c>
    </row>
    <row r="1349" spans="1:3" x14ac:dyDescent="0.2">
      <c r="A1349" t="s">
        <v>778</v>
      </c>
      <c r="B1349" t="s">
        <v>779</v>
      </c>
      <c r="C1349" t="s">
        <v>14</v>
      </c>
    </row>
    <row r="1350" spans="1:3" x14ac:dyDescent="0.2">
      <c r="A1350" t="s">
        <v>776</v>
      </c>
      <c r="B1350" t="s">
        <v>777</v>
      </c>
      <c r="C1350" t="s">
        <v>38</v>
      </c>
    </row>
    <row r="1351" spans="1:3" x14ac:dyDescent="0.2">
      <c r="A1351" t="s">
        <v>774</v>
      </c>
      <c r="B1351" t="s">
        <v>775</v>
      </c>
      <c r="C1351" t="s">
        <v>38</v>
      </c>
    </row>
    <row r="1352" spans="1:3" x14ac:dyDescent="0.2">
      <c r="A1352" t="s">
        <v>772</v>
      </c>
      <c r="B1352" t="s">
        <v>773</v>
      </c>
      <c r="C1352" t="s">
        <v>17</v>
      </c>
    </row>
    <row r="1353" spans="1:3" x14ac:dyDescent="0.2">
      <c r="A1353" t="s">
        <v>770</v>
      </c>
      <c r="B1353" t="s">
        <v>771</v>
      </c>
      <c r="C1353" t="s">
        <v>14</v>
      </c>
    </row>
    <row r="1354" spans="1:3" x14ac:dyDescent="0.2">
      <c r="A1354" t="s">
        <v>768</v>
      </c>
      <c r="B1354" t="s">
        <v>769</v>
      </c>
      <c r="C1354" t="s">
        <v>38</v>
      </c>
    </row>
    <row r="1355" spans="1:3" x14ac:dyDescent="0.2">
      <c r="A1355" t="s">
        <v>766</v>
      </c>
      <c r="B1355" t="s">
        <v>767</v>
      </c>
      <c r="C1355" t="s">
        <v>14</v>
      </c>
    </row>
    <row r="1356" spans="1:3" x14ac:dyDescent="0.2">
      <c r="A1356" t="s">
        <v>764</v>
      </c>
      <c r="B1356" t="s">
        <v>765</v>
      </c>
      <c r="C1356" t="s">
        <v>14</v>
      </c>
    </row>
    <row r="1357" spans="1:3" x14ac:dyDescent="0.2">
      <c r="A1357" t="s">
        <v>762</v>
      </c>
      <c r="B1357" t="s">
        <v>763</v>
      </c>
      <c r="C1357" t="s">
        <v>14</v>
      </c>
    </row>
    <row r="1358" spans="1:3" x14ac:dyDescent="0.2">
      <c r="A1358" t="s">
        <v>760</v>
      </c>
      <c r="B1358" t="s">
        <v>761</v>
      </c>
      <c r="C1358" t="s">
        <v>17</v>
      </c>
    </row>
    <row r="1359" spans="1:3" x14ac:dyDescent="0.2">
      <c r="A1359" t="s">
        <v>758</v>
      </c>
      <c r="B1359" t="s">
        <v>759</v>
      </c>
      <c r="C1359" t="s">
        <v>14</v>
      </c>
    </row>
    <row r="1360" spans="1:3" x14ac:dyDescent="0.2">
      <c r="A1360" t="s">
        <v>756</v>
      </c>
      <c r="B1360" t="s">
        <v>757</v>
      </c>
      <c r="C1360" t="s">
        <v>14</v>
      </c>
    </row>
    <row r="1361" spans="1:3" x14ac:dyDescent="0.2">
      <c r="A1361" t="s">
        <v>754</v>
      </c>
      <c r="B1361" t="s">
        <v>755</v>
      </c>
      <c r="C1361" t="s">
        <v>14</v>
      </c>
    </row>
    <row r="1362" spans="1:3" x14ac:dyDescent="0.2">
      <c r="A1362" t="s">
        <v>752</v>
      </c>
      <c r="B1362" t="s">
        <v>753</v>
      </c>
      <c r="C1362" t="s">
        <v>38</v>
      </c>
    </row>
    <row r="1363" spans="1:3" x14ac:dyDescent="0.2">
      <c r="A1363" t="s">
        <v>750</v>
      </c>
      <c r="B1363" t="s">
        <v>751</v>
      </c>
      <c r="C1363" t="s">
        <v>14</v>
      </c>
    </row>
    <row r="1364" spans="1:3" x14ac:dyDescent="0.2">
      <c r="A1364" t="s">
        <v>748</v>
      </c>
      <c r="B1364" t="s">
        <v>749</v>
      </c>
      <c r="C1364" t="s">
        <v>38</v>
      </c>
    </row>
    <row r="1365" spans="1:3" x14ac:dyDescent="0.2">
      <c r="A1365" t="s">
        <v>746</v>
      </c>
      <c r="B1365" t="s">
        <v>747</v>
      </c>
      <c r="C1365" t="s">
        <v>38</v>
      </c>
    </row>
    <row r="1366" spans="1:3" x14ac:dyDescent="0.2">
      <c r="A1366" t="s">
        <v>744</v>
      </c>
      <c r="B1366" t="s">
        <v>745</v>
      </c>
      <c r="C1366" t="s">
        <v>17</v>
      </c>
    </row>
    <row r="1367" spans="1:3" x14ac:dyDescent="0.2">
      <c r="A1367" t="s">
        <v>742</v>
      </c>
      <c r="B1367" t="s">
        <v>743</v>
      </c>
      <c r="C1367" t="s">
        <v>17</v>
      </c>
    </row>
    <row r="1368" spans="1:3" x14ac:dyDescent="0.2">
      <c r="A1368" t="s">
        <v>740</v>
      </c>
      <c r="B1368" t="s">
        <v>741</v>
      </c>
      <c r="C1368" t="s">
        <v>17</v>
      </c>
    </row>
    <row r="1369" spans="1:3" x14ac:dyDescent="0.2">
      <c r="A1369" t="s">
        <v>738</v>
      </c>
      <c r="B1369" t="s">
        <v>739</v>
      </c>
      <c r="C1369" t="s">
        <v>17</v>
      </c>
    </row>
    <row r="1370" spans="1:3" x14ac:dyDescent="0.2">
      <c r="A1370" t="s">
        <v>736</v>
      </c>
      <c r="B1370" t="s">
        <v>737</v>
      </c>
      <c r="C1370" t="s">
        <v>14</v>
      </c>
    </row>
    <row r="1371" spans="1:3" x14ac:dyDescent="0.2">
      <c r="A1371" t="s">
        <v>734</v>
      </c>
      <c r="B1371" t="s">
        <v>735</v>
      </c>
      <c r="C1371" t="s">
        <v>14</v>
      </c>
    </row>
    <row r="1372" spans="1:3" x14ac:dyDescent="0.2">
      <c r="A1372" t="s">
        <v>732</v>
      </c>
      <c r="B1372" t="s">
        <v>733</v>
      </c>
      <c r="C1372" t="s">
        <v>17</v>
      </c>
    </row>
    <row r="1373" spans="1:3" x14ac:dyDescent="0.2">
      <c r="A1373" t="s">
        <v>730</v>
      </c>
      <c r="B1373" t="s">
        <v>731</v>
      </c>
      <c r="C1373" t="s">
        <v>17</v>
      </c>
    </row>
    <row r="1374" spans="1:3" x14ac:dyDescent="0.2">
      <c r="A1374" t="s">
        <v>728</v>
      </c>
      <c r="B1374" t="s">
        <v>729</v>
      </c>
      <c r="C1374" t="s">
        <v>17</v>
      </c>
    </row>
    <row r="1375" spans="1:3" x14ac:dyDescent="0.2">
      <c r="A1375" t="s">
        <v>726</v>
      </c>
      <c r="B1375" t="s">
        <v>727</v>
      </c>
      <c r="C1375" t="s">
        <v>17</v>
      </c>
    </row>
    <row r="1376" spans="1:3" x14ac:dyDescent="0.2">
      <c r="A1376" t="s">
        <v>724</v>
      </c>
      <c r="B1376" t="s">
        <v>725</v>
      </c>
      <c r="C1376" t="s">
        <v>17</v>
      </c>
    </row>
    <row r="1377" spans="1:3" x14ac:dyDescent="0.2">
      <c r="A1377" t="s">
        <v>722</v>
      </c>
      <c r="B1377" t="s">
        <v>723</v>
      </c>
      <c r="C1377" t="s">
        <v>14</v>
      </c>
    </row>
    <row r="1378" spans="1:3" x14ac:dyDescent="0.2">
      <c r="A1378" t="s">
        <v>720</v>
      </c>
      <c r="B1378" t="s">
        <v>721</v>
      </c>
      <c r="C1378" t="s">
        <v>17</v>
      </c>
    </row>
    <row r="1379" spans="1:3" x14ac:dyDescent="0.2">
      <c r="A1379" t="s">
        <v>718</v>
      </c>
      <c r="B1379" t="s">
        <v>719</v>
      </c>
      <c r="C1379" t="s">
        <v>45</v>
      </c>
    </row>
    <row r="1380" spans="1:3" x14ac:dyDescent="0.2">
      <c r="A1380" t="s">
        <v>716</v>
      </c>
      <c r="B1380" t="s">
        <v>717</v>
      </c>
      <c r="C1380" t="s">
        <v>14</v>
      </c>
    </row>
    <row r="1381" spans="1:3" x14ac:dyDescent="0.2">
      <c r="A1381" t="s">
        <v>714</v>
      </c>
      <c r="B1381" t="s">
        <v>715</v>
      </c>
      <c r="C1381" t="s">
        <v>17</v>
      </c>
    </row>
    <row r="1382" spans="1:3" x14ac:dyDescent="0.2">
      <c r="A1382" t="s">
        <v>712</v>
      </c>
      <c r="B1382" t="s">
        <v>713</v>
      </c>
      <c r="C1382" t="s">
        <v>14</v>
      </c>
    </row>
    <row r="1383" spans="1:3" x14ac:dyDescent="0.2">
      <c r="A1383" t="s">
        <v>710</v>
      </c>
      <c r="B1383" t="s">
        <v>711</v>
      </c>
      <c r="C1383" t="s">
        <v>17</v>
      </c>
    </row>
    <row r="1384" spans="1:3" x14ac:dyDescent="0.2">
      <c r="A1384" t="s">
        <v>708</v>
      </c>
      <c r="B1384" t="s">
        <v>709</v>
      </c>
      <c r="C1384" t="s">
        <v>17</v>
      </c>
    </row>
    <row r="1385" spans="1:3" x14ac:dyDescent="0.2">
      <c r="A1385" t="s">
        <v>706</v>
      </c>
      <c r="B1385" t="s">
        <v>707</v>
      </c>
      <c r="C1385" t="s">
        <v>38</v>
      </c>
    </row>
    <row r="1386" spans="1:3" x14ac:dyDescent="0.2">
      <c r="A1386" t="s">
        <v>704</v>
      </c>
      <c r="B1386" t="s">
        <v>705</v>
      </c>
      <c r="C1386" t="s">
        <v>17</v>
      </c>
    </row>
    <row r="1387" spans="1:3" x14ac:dyDescent="0.2">
      <c r="A1387" t="s">
        <v>702</v>
      </c>
      <c r="B1387" t="s">
        <v>703</v>
      </c>
      <c r="C1387" t="s">
        <v>38</v>
      </c>
    </row>
    <row r="1388" spans="1:3" x14ac:dyDescent="0.2">
      <c r="A1388" t="s">
        <v>700</v>
      </c>
      <c r="B1388" t="s">
        <v>701</v>
      </c>
      <c r="C1388" t="s">
        <v>17</v>
      </c>
    </row>
    <row r="1389" spans="1:3" x14ac:dyDescent="0.2">
      <c r="A1389" t="s">
        <v>698</v>
      </c>
      <c r="B1389" t="s">
        <v>699</v>
      </c>
      <c r="C1389" t="s">
        <v>14</v>
      </c>
    </row>
    <row r="1390" spans="1:3" x14ac:dyDescent="0.2">
      <c r="A1390" t="s">
        <v>696</v>
      </c>
      <c r="B1390" t="s">
        <v>697</v>
      </c>
      <c r="C1390" t="s">
        <v>45</v>
      </c>
    </row>
    <row r="1391" spans="1:3" x14ac:dyDescent="0.2">
      <c r="A1391" t="s">
        <v>694</v>
      </c>
      <c r="B1391" t="s">
        <v>695</v>
      </c>
      <c r="C1391" t="s">
        <v>17</v>
      </c>
    </row>
    <row r="1392" spans="1:3" x14ac:dyDescent="0.2">
      <c r="A1392" t="s">
        <v>692</v>
      </c>
      <c r="B1392" t="s">
        <v>693</v>
      </c>
      <c r="C1392" t="s">
        <v>38</v>
      </c>
    </row>
    <row r="1393" spans="1:3" x14ac:dyDescent="0.2">
      <c r="A1393" t="s">
        <v>690</v>
      </c>
      <c r="B1393" t="s">
        <v>691</v>
      </c>
      <c r="C1393" t="s">
        <v>14</v>
      </c>
    </row>
    <row r="1394" spans="1:3" x14ac:dyDescent="0.2">
      <c r="A1394" t="s">
        <v>688</v>
      </c>
      <c r="B1394" t="s">
        <v>689</v>
      </c>
      <c r="C1394" t="s">
        <v>17</v>
      </c>
    </row>
    <row r="1395" spans="1:3" x14ac:dyDescent="0.2">
      <c r="A1395" t="s">
        <v>686</v>
      </c>
      <c r="B1395" t="s">
        <v>687</v>
      </c>
      <c r="C1395" t="s">
        <v>14</v>
      </c>
    </row>
    <row r="1396" spans="1:3" x14ac:dyDescent="0.2">
      <c r="A1396" t="s">
        <v>684</v>
      </c>
      <c r="B1396" t="s">
        <v>685</v>
      </c>
      <c r="C1396" t="s">
        <v>45</v>
      </c>
    </row>
    <row r="1397" spans="1:3" x14ac:dyDescent="0.2">
      <c r="A1397" t="s">
        <v>682</v>
      </c>
      <c r="B1397" t="s">
        <v>683</v>
      </c>
      <c r="C1397" t="s">
        <v>45</v>
      </c>
    </row>
    <row r="1398" spans="1:3" x14ac:dyDescent="0.2">
      <c r="A1398" t="s">
        <v>680</v>
      </c>
      <c r="B1398" t="s">
        <v>681</v>
      </c>
      <c r="C1398" t="s">
        <v>14</v>
      </c>
    </row>
    <row r="1399" spans="1:3" x14ac:dyDescent="0.2">
      <c r="A1399" t="s">
        <v>678</v>
      </c>
      <c r="B1399" t="s">
        <v>679</v>
      </c>
      <c r="C1399" t="s">
        <v>14</v>
      </c>
    </row>
    <row r="1400" spans="1:3" x14ac:dyDescent="0.2">
      <c r="A1400" t="s">
        <v>676</v>
      </c>
      <c r="B1400" t="s">
        <v>677</v>
      </c>
      <c r="C1400" t="s">
        <v>14</v>
      </c>
    </row>
    <row r="1401" spans="1:3" x14ac:dyDescent="0.2">
      <c r="A1401" t="s">
        <v>674</v>
      </c>
      <c r="B1401" t="s">
        <v>675</v>
      </c>
      <c r="C1401" t="s">
        <v>45</v>
      </c>
    </row>
    <row r="1402" spans="1:3" x14ac:dyDescent="0.2">
      <c r="A1402" t="s">
        <v>672</v>
      </c>
      <c r="B1402" t="s">
        <v>673</v>
      </c>
      <c r="C1402" t="s">
        <v>45</v>
      </c>
    </row>
    <row r="1403" spans="1:3" x14ac:dyDescent="0.2">
      <c r="A1403" t="s">
        <v>670</v>
      </c>
      <c r="B1403" t="s">
        <v>671</v>
      </c>
      <c r="C1403" t="s">
        <v>17</v>
      </c>
    </row>
    <row r="1404" spans="1:3" x14ac:dyDescent="0.2">
      <c r="A1404" t="s">
        <v>668</v>
      </c>
      <c r="B1404" t="s">
        <v>669</v>
      </c>
      <c r="C1404" t="s">
        <v>38</v>
      </c>
    </row>
    <row r="1405" spans="1:3" x14ac:dyDescent="0.2">
      <c r="A1405" t="s">
        <v>666</v>
      </c>
      <c r="B1405" t="s">
        <v>667</v>
      </c>
      <c r="C1405" t="s">
        <v>14</v>
      </c>
    </row>
    <row r="1406" spans="1:3" x14ac:dyDescent="0.2">
      <c r="A1406" t="s">
        <v>664</v>
      </c>
      <c r="B1406" t="s">
        <v>665</v>
      </c>
      <c r="C1406" t="s">
        <v>14</v>
      </c>
    </row>
    <row r="1407" spans="1:3" x14ac:dyDescent="0.2">
      <c r="A1407" t="s">
        <v>662</v>
      </c>
      <c r="B1407" t="s">
        <v>663</v>
      </c>
      <c r="C1407" t="s">
        <v>14</v>
      </c>
    </row>
    <row r="1408" spans="1:3" x14ac:dyDescent="0.2">
      <c r="A1408" t="s">
        <v>660</v>
      </c>
      <c r="B1408" t="s">
        <v>661</v>
      </c>
      <c r="C1408" t="s">
        <v>45</v>
      </c>
    </row>
    <row r="1409" spans="1:3" x14ac:dyDescent="0.2">
      <c r="A1409" t="s">
        <v>658</v>
      </c>
      <c r="B1409" t="s">
        <v>659</v>
      </c>
      <c r="C1409" t="s">
        <v>45</v>
      </c>
    </row>
    <row r="1410" spans="1:3" x14ac:dyDescent="0.2">
      <c r="A1410" t="s">
        <v>656</v>
      </c>
      <c r="B1410" t="s">
        <v>657</v>
      </c>
      <c r="C1410" t="s">
        <v>14</v>
      </c>
    </row>
    <row r="1411" spans="1:3" x14ac:dyDescent="0.2">
      <c r="A1411" t="s">
        <v>654</v>
      </c>
      <c r="B1411" t="s">
        <v>655</v>
      </c>
      <c r="C1411" t="s">
        <v>14</v>
      </c>
    </row>
    <row r="1412" spans="1:3" x14ac:dyDescent="0.2">
      <c r="A1412" t="s">
        <v>652</v>
      </c>
      <c r="B1412" t="s">
        <v>653</v>
      </c>
      <c r="C1412" t="s">
        <v>14</v>
      </c>
    </row>
    <row r="1413" spans="1:3" x14ac:dyDescent="0.2">
      <c r="A1413" t="s">
        <v>650</v>
      </c>
      <c r="B1413" t="s">
        <v>651</v>
      </c>
      <c r="C1413" t="s">
        <v>14</v>
      </c>
    </row>
    <row r="1414" spans="1:3" x14ac:dyDescent="0.2">
      <c r="A1414" t="s">
        <v>648</v>
      </c>
      <c r="B1414" t="s">
        <v>649</v>
      </c>
      <c r="C1414" t="s">
        <v>45</v>
      </c>
    </row>
    <row r="1415" spans="1:3" x14ac:dyDescent="0.2">
      <c r="A1415" t="s">
        <v>646</v>
      </c>
      <c r="B1415" t="s">
        <v>647</v>
      </c>
      <c r="C1415" t="s">
        <v>14</v>
      </c>
    </row>
    <row r="1416" spans="1:3" x14ac:dyDescent="0.2">
      <c r="A1416" t="s">
        <v>644</v>
      </c>
      <c r="B1416" t="s">
        <v>645</v>
      </c>
      <c r="C1416" t="s">
        <v>17</v>
      </c>
    </row>
    <row r="1417" spans="1:3" x14ac:dyDescent="0.2">
      <c r="A1417" t="s">
        <v>642</v>
      </c>
      <c r="B1417" t="s">
        <v>643</v>
      </c>
      <c r="C1417" t="s">
        <v>14</v>
      </c>
    </row>
    <row r="1418" spans="1:3" x14ac:dyDescent="0.2">
      <c r="A1418" t="s">
        <v>640</v>
      </c>
      <c r="B1418" t="s">
        <v>641</v>
      </c>
      <c r="C1418" t="s">
        <v>17</v>
      </c>
    </row>
    <row r="1419" spans="1:3" x14ac:dyDescent="0.2">
      <c r="A1419" t="s">
        <v>638</v>
      </c>
      <c r="B1419" t="s">
        <v>639</v>
      </c>
      <c r="C1419" t="s">
        <v>45</v>
      </c>
    </row>
    <row r="1420" spans="1:3" x14ac:dyDescent="0.2">
      <c r="A1420" t="s">
        <v>636</v>
      </c>
      <c r="B1420" t="s">
        <v>637</v>
      </c>
      <c r="C1420" t="s">
        <v>14</v>
      </c>
    </row>
    <row r="1421" spans="1:3" x14ac:dyDescent="0.2">
      <c r="A1421" t="s">
        <v>634</v>
      </c>
      <c r="B1421" t="s">
        <v>635</v>
      </c>
      <c r="C1421" t="s">
        <v>14</v>
      </c>
    </row>
    <row r="1422" spans="1:3" x14ac:dyDescent="0.2">
      <c r="A1422" t="s">
        <v>632</v>
      </c>
      <c r="B1422" t="s">
        <v>633</v>
      </c>
      <c r="C1422" t="s">
        <v>38</v>
      </c>
    </row>
    <row r="1423" spans="1:3" x14ac:dyDescent="0.2">
      <c r="A1423" t="s">
        <v>630</v>
      </c>
      <c r="B1423" t="s">
        <v>631</v>
      </c>
      <c r="C1423" t="s">
        <v>45</v>
      </c>
    </row>
    <row r="1424" spans="1:3" x14ac:dyDescent="0.2">
      <c r="A1424" t="s">
        <v>628</v>
      </c>
      <c r="B1424" t="s">
        <v>629</v>
      </c>
      <c r="C1424" t="s">
        <v>14</v>
      </c>
    </row>
    <row r="1425" spans="1:3" x14ac:dyDescent="0.2">
      <c r="A1425" t="s">
        <v>626</v>
      </c>
      <c r="B1425" t="s">
        <v>627</v>
      </c>
      <c r="C1425" t="s">
        <v>17</v>
      </c>
    </row>
    <row r="1426" spans="1:3" x14ac:dyDescent="0.2">
      <c r="A1426" t="s">
        <v>624</v>
      </c>
      <c r="B1426" t="s">
        <v>625</v>
      </c>
      <c r="C1426" t="s">
        <v>17</v>
      </c>
    </row>
    <row r="1427" spans="1:3" x14ac:dyDescent="0.2">
      <c r="A1427" t="s">
        <v>622</v>
      </c>
      <c r="B1427" t="s">
        <v>623</v>
      </c>
      <c r="C1427" t="s">
        <v>17</v>
      </c>
    </row>
    <row r="1428" spans="1:3" x14ac:dyDescent="0.2">
      <c r="A1428" t="s">
        <v>620</v>
      </c>
      <c r="B1428" t="s">
        <v>621</v>
      </c>
      <c r="C1428" t="s">
        <v>14</v>
      </c>
    </row>
    <row r="1429" spans="1:3" x14ac:dyDescent="0.2">
      <c r="A1429" t="s">
        <v>618</v>
      </c>
      <c r="B1429" t="s">
        <v>619</v>
      </c>
      <c r="C1429" t="s">
        <v>14</v>
      </c>
    </row>
    <row r="1430" spans="1:3" x14ac:dyDescent="0.2">
      <c r="A1430" t="s">
        <v>616</v>
      </c>
      <c r="B1430" t="s">
        <v>617</v>
      </c>
      <c r="C1430" t="s">
        <v>14</v>
      </c>
    </row>
    <row r="1431" spans="1:3" x14ac:dyDescent="0.2">
      <c r="A1431" t="s">
        <v>614</v>
      </c>
      <c r="B1431" t="s">
        <v>615</v>
      </c>
      <c r="C1431" t="s">
        <v>45</v>
      </c>
    </row>
    <row r="1432" spans="1:3" x14ac:dyDescent="0.2">
      <c r="A1432" t="s">
        <v>612</v>
      </c>
      <c r="B1432" t="s">
        <v>613</v>
      </c>
      <c r="C1432" t="s">
        <v>45</v>
      </c>
    </row>
    <row r="1433" spans="1:3" x14ac:dyDescent="0.2">
      <c r="A1433" t="s">
        <v>610</v>
      </c>
      <c r="B1433" t="s">
        <v>611</v>
      </c>
      <c r="C1433" t="s">
        <v>14</v>
      </c>
    </row>
    <row r="1434" spans="1:3" x14ac:dyDescent="0.2">
      <c r="A1434" t="s">
        <v>608</v>
      </c>
      <c r="B1434" t="s">
        <v>609</v>
      </c>
      <c r="C1434" t="s">
        <v>17</v>
      </c>
    </row>
    <row r="1435" spans="1:3" x14ac:dyDescent="0.2">
      <c r="A1435" t="s">
        <v>606</v>
      </c>
      <c r="B1435" t="s">
        <v>607</v>
      </c>
      <c r="C1435" t="s">
        <v>17</v>
      </c>
    </row>
    <row r="1436" spans="1:3" x14ac:dyDescent="0.2">
      <c r="A1436" t="s">
        <v>604</v>
      </c>
      <c r="B1436" t="s">
        <v>605</v>
      </c>
      <c r="C1436" t="s">
        <v>17</v>
      </c>
    </row>
    <row r="1437" spans="1:3" x14ac:dyDescent="0.2">
      <c r="A1437" t="s">
        <v>602</v>
      </c>
      <c r="B1437" t="s">
        <v>603</v>
      </c>
      <c r="C1437" t="s">
        <v>14</v>
      </c>
    </row>
    <row r="1438" spans="1:3" x14ac:dyDescent="0.2">
      <c r="A1438" t="s">
        <v>600</v>
      </c>
      <c r="B1438" t="s">
        <v>601</v>
      </c>
      <c r="C1438" t="s">
        <v>45</v>
      </c>
    </row>
    <row r="1439" spans="1:3" x14ac:dyDescent="0.2">
      <c r="A1439" t="s">
        <v>598</v>
      </c>
      <c r="B1439" t="s">
        <v>599</v>
      </c>
      <c r="C1439" t="s">
        <v>17</v>
      </c>
    </row>
    <row r="1440" spans="1:3" x14ac:dyDescent="0.2">
      <c r="A1440" t="s">
        <v>596</v>
      </c>
      <c r="B1440" t="s">
        <v>597</v>
      </c>
      <c r="C1440" t="s">
        <v>14</v>
      </c>
    </row>
    <row r="1441" spans="1:3" x14ac:dyDescent="0.2">
      <c r="A1441" t="s">
        <v>594</v>
      </c>
      <c r="B1441" t="s">
        <v>595</v>
      </c>
      <c r="C1441" t="s">
        <v>14</v>
      </c>
    </row>
    <row r="1442" spans="1:3" x14ac:dyDescent="0.2">
      <c r="A1442" t="s">
        <v>592</v>
      </c>
      <c r="B1442" t="s">
        <v>593</v>
      </c>
      <c r="C1442" t="s">
        <v>17</v>
      </c>
    </row>
    <row r="1443" spans="1:3" x14ac:dyDescent="0.2">
      <c r="A1443" t="s">
        <v>590</v>
      </c>
      <c r="B1443" t="s">
        <v>591</v>
      </c>
      <c r="C1443" t="s">
        <v>45</v>
      </c>
    </row>
    <row r="1444" spans="1:3" x14ac:dyDescent="0.2">
      <c r="A1444" t="s">
        <v>588</v>
      </c>
      <c r="B1444" t="s">
        <v>589</v>
      </c>
      <c r="C1444" t="s">
        <v>17</v>
      </c>
    </row>
    <row r="1445" spans="1:3" x14ac:dyDescent="0.2">
      <c r="A1445" t="s">
        <v>586</v>
      </c>
      <c r="B1445" t="s">
        <v>587</v>
      </c>
      <c r="C1445" t="s">
        <v>17</v>
      </c>
    </row>
    <row r="1446" spans="1:3" x14ac:dyDescent="0.2">
      <c r="A1446" t="s">
        <v>584</v>
      </c>
      <c r="B1446" t="s">
        <v>585</v>
      </c>
      <c r="C1446" t="s">
        <v>14</v>
      </c>
    </row>
    <row r="1447" spans="1:3" x14ac:dyDescent="0.2">
      <c r="A1447" t="s">
        <v>582</v>
      </c>
      <c r="B1447" t="s">
        <v>583</v>
      </c>
      <c r="C1447" t="s">
        <v>14</v>
      </c>
    </row>
    <row r="1448" spans="1:3" x14ac:dyDescent="0.2">
      <c r="A1448" t="s">
        <v>580</v>
      </c>
      <c r="B1448" t="s">
        <v>581</v>
      </c>
      <c r="C1448" t="s">
        <v>14</v>
      </c>
    </row>
    <row r="1449" spans="1:3" x14ac:dyDescent="0.2">
      <c r="A1449" t="s">
        <v>578</v>
      </c>
      <c r="B1449" t="s">
        <v>579</v>
      </c>
      <c r="C1449" t="s">
        <v>17</v>
      </c>
    </row>
    <row r="1450" spans="1:3" x14ac:dyDescent="0.2">
      <c r="A1450" t="s">
        <v>576</v>
      </c>
      <c r="B1450" t="s">
        <v>577</v>
      </c>
      <c r="C1450" t="s">
        <v>14</v>
      </c>
    </row>
    <row r="1451" spans="1:3" x14ac:dyDescent="0.2">
      <c r="A1451" t="s">
        <v>574</v>
      </c>
      <c r="B1451" t="s">
        <v>575</v>
      </c>
      <c r="C1451" t="s">
        <v>14</v>
      </c>
    </row>
    <row r="1452" spans="1:3" x14ac:dyDescent="0.2">
      <c r="A1452" t="s">
        <v>572</v>
      </c>
      <c r="B1452" t="s">
        <v>573</v>
      </c>
      <c r="C1452" t="s">
        <v>14</v>
      </c>
    </row>
    <row r="1453" spans="1:3" x14ac:dyDescent="0.2">
      <c r="A1453" t="s">
        <v>570</v>
      </c>
      <c r="B1453" t="s">
        <v>571</v>
      </c>
      <c r="C1453" t="s">
        <v>14</v>
      </c>
    </row>
    <row r="1454" spans="1:3" x14ac:dyDescent="0.2">
      <c r="A1454" t="s">
        <v>568</v>
      </c>
      <c r="B1454" t="s">
        <v>569</v>
      </c>
      <c r="C1454" t="s">
        <v>45</v>
      </c>
    </row>
    <row r="1455" spans="1:3" x14ac:dyDescent="0.2">
      <c r="A1455" t="s">
        <v>566</v>
      </c>
      <c r="B1455" t="s">
        <v>567</v>
      </c>
      <c r="C1455" t="s">
        <v>14</v>
      </c>
    </row>
    <row r="1456" spans="1:3" x14ac:dyDescent="0.2">
      <c r="A1456" t="s">
        <v>564</v>
      </c>
      <c r="B1456" t="s">
        <v>565</v>
      </c>
      <c r="C1456" t="s">
        <v>17</v>
      </c>
    </row>
    <row r="1457" spans="1:3" x14ac:dyDescent="0.2">
      <c r="A1457" t="s">
        <v>562</v>
      </c>
      <c r="B1457" t="s">
        <v>563</v>
      </c>
      <c r="C1457" t="s">
        <v>17</v>
      </c>
    </row>
    <row r="1458" spans="1:3" x14ac:dyDescent="0.2">
      <c r="A1458" t="s">
        <v>560</v>
      </c>
      <c r="B1458" t="s">
        <v>561</v>
      </c>
      <c r="C1458" t="s">
        <v>38</v>
      </c>
    </row>
    <row r="1459" spans="1:3" x14ac:dyDescent="0.2">
      <c r="A1459" t="s">
        <v>558</v>
      </c>
      <c r="B1459" t="s">
        <v>559</v>
      </c>
      <c r="C1459" t="s">
        <v>45</v>
      </c>
    </row>
    <row r="1460" spans="1:3" x14ac:dyDescent="0.2">
      <c r="A1460" t="s">
        <v>556</v>
      </c>
      <c r="B1460" t="s">
        <v>557</v>
      </c>
      <c r="C1460" t="s">
        <v>14</v>
      </c>
    </row>
    <row r="1461" spans="1:3" x14ac:dyDescent="0.2">
      <c r="A1461" t="s">
        <v>554</v>
      </c>
      <c r="B1461" t="s">
        <v>555</v>
      </c>
      <c r="C1461" t="s">
        <v>14</v>
      </c>
    </row>
    <row r="1462" spans="1:3" x14ac:dyDescent="0.2">
      <c r="A1462" t="s">
        <v>552</v>
      </c>
      <c r="B1462" t="s">
        <v>553</v>
      </c>
      <c r="C1462" t="s">
        <v>14</v>
      </c>
    </row>
    <row r="1463" spans="1:3" x14ac:dyDescent="0.2">
      <c r="A1463" t="s">
        <v>550</v>
      </c>
      <c r="B1463" t="s">
        <v>551</v>
      </c>
      <c r="C1463" t="s">
        <v>14</v>
      </c>
    </row>
    <row r="1464" spans="1:3" x14ac:dyDescent="0.2">
      <c r="A1464" t="s">
        <v>548</v>
      </c>
      <c r="B1464" t="s">
        <v>549</v>
      </c>
      <c r="C1464" t="s">
        <v>17</v>
      </c>
    </row>
    <row r="1465" spans="1:3" x14ac:dyDescent="0.2">
      <c r="A1465" t="s">
        <v>546</v>
      </c>
      <c r="B1465" t="s">
        <v>547</v>
      </c>
      <c r="C1465" t="s">
        <v>17</v>
      </c>
    </row>
    <row r="1466" spans="1:3" x14ac:dyDescent="0.2">
      <c r="A1466" t="s">
        <v>544</v>
      </c>
      <c r="B1466" t="s">
        <v>545</v>
      </c>
      <c r="C1466" t="s">
        <v>14</v>
      </c>
    </row>
    <row r="1467" spans="1:3" x14ac:dyDescent="0.2">
      <c r="A1467" t="s">
        <v>542</v>
      </c>
      <c r="B1467" t="s">
        <v>543</v>
      </c>
      <c r="C1467" t="s">
        <v>14</v>
      </c>
    </row>
    <row r="1468" spans="1:3" x14ac:dyDescent="0.2">
      <c r="A1468" t="s">
        <v>540</v>
      </c>
      <c r="B1468" t="s">
        <v>541</v>
      </c>
      <c r="C1468" t="s">
        <v>14</v>
      </c>
    </row>
    <row r="1469" spans="1:3" x14ac:dyDescent="0.2">
      <c r="A1469" t="s">
        <v>538</v>
      </c>
      <c r="B1469" t="s">
        <v>539</v>
      </c>
      <c r="C1469" t="s">
        <v>14</v>
      </c>
    </row>
    <row r="1470" spans="1:3" x14ac:dyDescent="0.2">
      <c r="A1470" t="s">
        <v>536</v>
      </c>
      <c r="B1470" t="s">
        <v>537</v>
      </c>
      <c r="C1470" t="s">
        <v>14</v>
      </c>
    </row>
    <row r="1471" spans="1:3" x14ac:dyDescent="0.2">
      <c r="A1471" t="s">
        <v>535</v>
      </c>
      <c r="C1471" t="s">
        <v>38</v>
      </c>
    </row>
    <row r="1472" spans="1:3" x14ac:dyDescent="0.2">
      <c r="A1472" t="s">
        <v>533</v>
      </c>
      <c r="B1472" t="s">
        <v>534</v>
      </c>
      <c r="C1472" t="s">
        <v>17</v>
      </c>
    </row>
    <row r="1473" spans="1:3" x14ac:dyDescent="0.2">
      <c r="A1473" t="s">
        <v>531</v>
      </c>
      <c r="B1473" t="s">
        <v>532</v>
      </c>
      <c r="C1473" t="s">
        <v>45</v>
      </c>
    </row>
    <row r="1474" spans="1:3" x14ac:dyDescent="0.2">
      <c r="A1474" t="s">
        <v>529</v>
      </c>
      <c r="B1474" t="s">
        <v>530</v>
      </c>
      <c r="C1474" t="s">
        <v>17</v>
      </c>
    </row>
    <row r="1475" spans="1:3" x14ac:dyDescent="0.2">
      <c r="A1475" t="s">
        <v>527</v>
      </c>
      <c r="B1475" t="s">
        <v>528</v>
      </c>
      <c r="C1475" t="s">
        <v>14</v>
      </c>
    </row>
    <row r="1476" spans="1:3" x14ac:dyDescent="0.2">
      <c r="A1476" t="s">
        <v>525</v>
      </c>
      <c r="B1476" t="s">
        <v>526</v>
      </c>
      <c r="C1476" t="s">
        <v>14</v>
      </c>
    </row>
    <row r="1477" spans="1:3" x14ac:dyDescent="0.2">
      <c r="A1477" t="s">
        <v>523</v>
      </c>
      <c r="B1477" t="s">
        <v>524</v>
      </c>
      <c r="C1477" t="s">
        <v>14</v>
      </c>
    </row>
    <row r="1478" spans="1:3" x14ac:dyDescent="0.2">
      <c r="A1478" t="s">
        <v>521</v>
      </c>
      <c r="B1478" t="s">
        <v>522</v>
      </c>
      <c r="C1478" t="s">
        <v>14</v>
      </c>
    </row>
    <row r="1479" spans="1:3" x14ac:dyDescent="0.2">
      <c r="A1479" t="s">
        <v>519</v>
      </c>
      <c r="B1479" t="s">
        <v>520</v>
      </c>
      <c r="C1479" t="s">
        <v>14</v>
      </c>
    </row>
    <row r="1480" spans="1:3" x14ac:dyDescent="0.2">
      <c r="A1480" t="s">
        <v>517</v>
      </c>
      <c r="B1480" t="s">
        <v>518</v>
      </c>
      <c r="C1480" t="s">
        <v>17</v>
      </c>
    </row>
    <row r="1481" spans="1:3" x14ac:dyDescent="0.2">
      <c r="A1481" t="s">
        <v>515</v>
      </c>
      <c r="B1481" t="s">
        <v>516</v>
      </c>
      <c r="C1481" t="s">
        <v>14</v>
      </c>
    </row>
    <row r="1482" spans="1:3" x14ac:dyDescent="0.2">
      <c r="A1482" t="s">
        <v>513</v>
      </c>
      <c r="B1482" t="s">
        <v>514</v>
      </c>
      <c r="C1482" t="s">
        <v>45</v>
      </c>
    </row>
    <row r="1483" spans="1:3" x14ac:dyDescent="0.2">
      <c r="A1483" t="s">
        <v>511</v>
      </c>
      <c r="B1483" t="s">
        <v>512</v>
      </c>
      <c r="C1483" t="s">
        <v>14</v>
      </c>
    </row>
    <row r="1484" spans="1:3" x14ac:dyDescent="0.2">
      <c r="A1484" t="s">
        <v>509</v>
      </c>
      <c r="B1484" t="s">
        <v>510</v>
      </c>
      <c r="C1484" t="s">
        <v>17</v>
      </c>
    </row>
    <row r="1485" spans="1:3" x14ac:dyDescent="0.2">
      <c r="A1485" t="s">
        <v>507</v>
      </c>
      <c r="B1485" t="s">
        <v>508</v>
      </c>
      <c r="C1485" t="s">
        <v>17</v>
      </c>
    </row>
    <row r="1486" spans="1:3" x14ac:dyDescent="0.2">
      <c r="A1486" t="s">
        <v>505</v>
      </c>
      <c r="B1486" t="s">
        <v>506</v>
      </c>
      <c r="C1486" t="s">
        <v>14</v>
      </c>
    </row>
    <row r="1487" spans="1:3" x14ac:dyDescent="0.2">
      <c r="A1487" t="s">
        <v>503</v>
      </c>
      <c r="B1487" t="s">
        <v>504</v>
      </c>
      <c r="C1487" t="s">
        <v>45</v>
      </c>
    </row>
    <row r="1488" spans="1:3" x14ac:dyDescent="0.2">
      <c r="A1488" t="s">
        <v>501</v>
      </c>
      <c r="B1488" t="s">
        <v>502</v>
      </c>
      <c r="C1488" t="s">
        <v>45</v>
      </c>
    </row>
    <row r="1489" spans="1:3" x14ac:dyDescent="0.2">
      <c r="A1489" t="s">
        <v>499</v>
      </c>
      <c r="B1489" t="s">
        <v>500</v>
      </c>
      <c r="C1489" t="s">
        <v>14</v>
      </c>
    </row>
    <row r="1490" spans="1:3" x14ac:dyDescent="0.2">
      <c r="A1490" t="s">
        <v>497</v>
      </c>
      <c r="B1490" t="s">
        <v>498</v>
      </c>
      <c r="C1490" t="s">
        <v>38</v>
      </c>
    </row>
    <row r="1491" spans="1:3" x14ac:dyDescent="0.2">
      <c r="A1491" t="s">
        <v>495</v>
      </c>
      <c r="B1491" t="s">
        <v>496</v>
      </c>
      <c r="C1491" t="s">
        <v>14</v>
      </c>
    </row>
    <row r="1492" spans="1:3" x14ac:dyDescent="0.2">
      <c r="A1492" t="s">
        <v>493</v>
      </c>
      <c r="B1492" t="s">
        <v>494</v>
      </c>
      <c r="C1492" t="s">
        <v>45</v>
      </c>
    </row>
    <row r="1493" spans="1:3" x14ac:dyDescent="0.2">
      <c r="A1493" t="s">
        <v>491</v>
      </c>
      <c r="B1493" t="s">
        <v>492</v>
      </c>
      <c r="C1493" t="s">
        <v>14</v>
      </c>
    </row>
    <row r="1494" spans="1:3" x14ac:dyDescent="0.2">
      <c r="A1494" t="s">
        <v>489</v>
      </c>
      <c r="B1494" t="s">
        <v>490</v>
      </c>
      <c r="C1494" t="s">
        <v>14</v>
      </c>
    </row>
    <row r="1495" spans="1:3" x14ac:dyDescent="0.2">
      <c r="A1495" t="s">
        <v>487</v>
      </c>
      <c r="B1495" t="s">
        <v>488</v>
      </c>
      <c r="C1495" t="s">
        <v>14</v>
      </c>
    </row>
    <row r="1496" spans="1:3" x14ac:dyDescent="0.2">
      <c r="A1496" t="s">
        <v>485</v>
      </c>
      <c r="B1496" t="s">
        <v>486</v>
      </c>
      <c r="C1496" t="s">
        <v>17</v>
      </c>
    </row>
    <row r="1497" spans="1:3" x14ac:dyDescent="0.2">
      <c r="A1497" t="s">
        <v>483</v>
      </c>
      <c r="B1497" t="s">
        <v>484</v>
      </c>
      <c r="C1497" t="s">
        <v>45</v>
      </c>
    </row>
    <row r="1498" spans="1:3" x14ac:dyDescent="0.2">
      <c r="A1498" t="s">
        <v>481</v>
      </c>
      <c r="B1498" t="s">
        <v>482</v>
      </c>
      <c r="C1498" t="s">
        <v>45</v>
      </c>
    </row>
    <row r="1499" spans="1:3" x14ac:dyDescent="0.2">
      <c r="A1499" t="s">
        <v>479</v>
      </c>
      <c r="B1499" t="s">
        <v>480</v>
      </c>
      <c r="C1499" t="s">
        <v>14</v>
      </c>
    </row>
    <row r="1500" spans="1:3" x14ac:dyDescent="0.2">
      <c r="A1500" t="s">
        <v>477</v>
      </c>
      <c r="B1500" t="s">
        <v>478</v>
      </c>
      <c r="C1500" t="s">
        <v>14</v>
      </c>
    </row>
    <row r="1501" spans="1:3" x14ac:dyDescent="0.2">
      <c r="A1501" t="s">
        <v>475</v>
      </c>
      <c r="B1501" t="s">
        <v>476</v>
      </c>
      <c r="C1501" t="s">
        <v>17</v>
      </c>
    </row>
    <row r="1502" spans="1:3" x14ac:dyDescent="0.2">
      <c r="A1502" t="s">
        <v>473</v>
      </c>
      <c r="B1502" t="s">
        <v>474</v>
      </c>
      <c r="C1502" t="s">
        <v>45</v>
      </c>
    </row>
    <row r="1503" spans="1:3" x14ac:dyDescent="0.2">
      <c r="A1503" t="s">
        <v>471</v>
      </c>
      <c r="B1503" t="s">
        <v>472</v>
      </c>
      <c r="C1503" t="s">
        <v>45</v>
      </c>
    </row>
    <row r="1504" spans="1:3" x14ac:dyDescent="0.2">
      <c r="A1504" t="s">
        <v>469</v>
      </c>
      <c r="B1504" t="s">
        <v>470</v>
      </c>
      <c r="C1504" t="s">
        <v>14</v>
      </c>
    </row>
    <row r="1505" spans="1:3" x14ac:dyDescent="0.2">
      <c r="A1505" t="s">
        <v>467</v>
      </c>
      <c r="B1505" t="s">
        <v>468</v>
      </c>
      <c r="C1505" t="s">
        <v>14</v>
      </c>
    </row>
    <row r="1506" spans="1:3" x14ac:dyDescent="0.2">
      <c r="A1506" t="s">
        <v>465</v>
      </c>
      <c r="B1506" t="s">
        <v>466</v>
      </c>
      <c r="C1506" t="s">
        <v>14</v>
      </c>
    </row>
    <row r="1507" spans="1:3" x14ac:dyDescent="0.2">
      <c r="A1507" t="s">
        <v>463</v>
      </c>
      <c r="B1507" t="s">
        <v>464</v>
      </c>
      <c r="C1507" t="s">
        <v>14</v>
      </c>
    </row>
    <row r="1508" spans="1:3" x14ac:dyDescent="0.2">
      <c r="A1508" t="s">
        <v>461</v>
      </c>
      <c r="B1508" t="s">
        <v>462</v>
      </c>
      <c r="C1508" t="s">
        <v>38</v>
      </c>
    </row>
    <row r="1509" spans="1:3" x14ac:dyDescent="0.2">
      <c r="A1509" t="s">
        <v>459</v>
      </c>
      <c r="B1509" t="s">
        <v>460</v>
      </c>
      <c r="C1509" t="s">
        <v>17</v>
      </c>
    </row>
    <row r="1510" spans="1:3" x14ac:dyDescent="0.2">
      <c r="A1510" t="s">
        <v>457</v>
      </c>
      <c r="B1510" t="s">
        <v>458</v>
      </c>
      <c r="C1510" t="s">
        <v>17</v>
      </c>
    </row>
    <row r="1511" spans="1:3" x14ac:dyDescent="0.2">
      <c r="A1511" t="s">
        <v>455</v>
      </c>
      <c r="B1511" t="s">
        <v>456</v>
      </c>
      <c r="C1511" t="s">
        <v>38</v>
      </c>
    </row>
    <row r="1512" spans="1:3" x14ac:dyDescent="0.2">
      <c r="A1512" t="s">
        <v>453</v>
      </c>
      <c r="B1512" t="s">
        <v>454</v>
      </c>
      <c r="C1512" t="s">
        <v>14</v>
      </c>
    </row>
    <row r="1513" spans="1:3" x14ac:dyDescent="0.2">
      <c r="A1513" t="s">
        <v>451</v>
      </c>
      <c r="B1513" t="s">
        <v>452</v>
      </c>
      <c r="C1513" t="s">
        <v>45</v>
      </c>
    </row>
    <row r="1514" spans="1:3" x14ac:dyDescent="0.2">
      <c r="A1514" t="s">
        <v>449</v>
      </c>
      <c r="B1514" t="s">
        <v>450</v>
      </c>
      <c r="C1514" t="s">
        <v>17</v>
      </c>
    </row>
    <row r="1515" spans="1:3" x14ac:dyDescent="0.2">
      <c r="A1515" t="s">
        <v>447</v>
      </c>
      <c r="B1515" t="s">
        <v>448</v>
      </c>
      <c r="C1515" t="s">
        <v>14</v>
      </c>
    </row>
    <row r="1516" spans="1:3" x14ac:dyDescent="0.2">
      <c r="A1516" t="s">
        <v>445</v>
      </c>
      <c r="B1516" t="s">
        <v>446</v>
      </c>
      <c r="C1516" t="s">
        <v>14</v>
      </c>
    </row>
    <row r="1517" spans="1:3" x14ac:dyDescent="0.2">
      <c r="A1517" t="s">
        <v>443</v>
      </c>
      <c r="B1517" t="s">
        <v>444</v>
      </c>
      <c r="C1517" t="s">
        <v>14</v>
      </c>
    </row>
    <row r="1518" spans="1:3" x14ac:dyDescent="0.2">
      <c r="A1518" t="s">
        <v>441</v>
      </c>
      <c r="B1518" t="s">
        <v>442</v>
      </c>
      <c r="C1518" t="s">
        <v>14</v>
      </c>
    </row>
    <row r="1519" spans="1:3" x14ac:dyDescent="0.2">
      <c r="A1519" t="s">
        <v>439</v>
      </c>
      <c r="B1519" t="s">
        <v>440</v>
      </c>
      <c r="C1519" t="s">
        <v>14</v>
      </c>
    </row>
    <row r="1520" spans="1:3" x14ac:dyDescent="0.2">
      <c r="A1520" t="s">
        <v>437</v>
      </c>
      <c r="B1520" t="s">
        <v>438</v>
      </c>
      <c r="C1520" t="s">
        <v>17</v>
      </c>
    </row>
    <row r="1521" spans="1:3" x14ac:dyDescent="0.2">
      <c r="A1521" t="s">
        <v>435</v>
      </c>
      <c r="B1521" t="s">
        <v>436</v>
      </c>
      <c r="C1521" t="s">
        <v>14</v>
      </c>
    </row>
    <row r="1522" spans="1:3" x14ac:dyDescent="0.2">
      <c r="A1522" t="s">
        <v>433</v>
      </c>
      <c r="B1522" t="s">
        <v>434</v>
      </c>
      <c r="C1522" t="s">
        <v>45</v>
      </c>
    </row>
    <row r="1523" spans="1:3" x14ac:dyDescent="0.2">
      <c r="A1523" t="s">
        <v>431</v>
      </c>
      <c r="B1523" t="s">
        <v>432</v>
      </c>
      <c r="C1523" t="s">
        <v>14</v>
      </c>
    </row>
    <row r="1524" spans="1:3" x14ac:dyDescent="0.2">
      <c r="A1524" t="s">
        <v>429</v>
      </c>
      <c r="B1524" t="s">
        <v>430</v>
      </c>
      <c r="C1524" t="s">
        <v>14</v>
      </c>
    </row>
    <row r="1525" spans="1:3" x14ac:dyDescent="0.2">
      <c r="A1525" t="s">
        <v>427</v>
      </c>
      <c r="B1525" t="s">
        <v>428</v>
      </c>
      <c r="C1525" t="s">
        <v>14</v>
      </c>
    </row>
    <row r="1526" spans="1:3" x14ac:dyDescent="0.2">
      <c r="A1526" t="s">
        <v>425</v>
      </c>
      <c r="B1526" t="s">
        <v>426</v>
      </c>
      <c r="C1526" t="s">
        <v>14</v>
      </c>
    </row>
    <row r="1527" spans="1:3" x14ac:dyDescent="0.2">
      <c r="A1527" t="s">
        <v>423</v>
      </c>
      <c r="B1527" t="s">
        <v>424</v>
      </c>
      <c r="C1527" t="s">
        <v>14</v>
      </c>
    </row>
    <row r="1528" spans="1:3" x14ac:dyDescent="0.2">
      <c r="A1528" t="s">
        <v>421</v>
      </c>
      <c r="B1528" t="s">
        <v>422</v>
      </c>
      <c r="C1528" t="s">
        <v>14</v>
      </c>
    </row>
    <row r="1529" spans="1:3" x14ac:dyDescent="0.2">
      <c r="A1529" t="s">
        <v>419</v>
      </c>
      <c r="B1529" t="s">
        <v>420</v>
      </c>
      <c r="C1529" t="s">
        <v>38</v>
      </c>
    </row>
    <row r="1530" spans="1:3" x14ac:dyDescent="0.2">
      <c r="A1530" t="s">
        <v>417</v>
      </c>
      <c r="B1530" t="s">
        <v>418</v>
      </c>
      <c r="C1530" t="s">
        <v>45</v>
      </c>
    </row>
    <row r="1531" spans="1:3" x14ac:dyDescent="0.2">
      <c r="A1531" t="s">
        <v>415</v>
      </c>
      <c r="B1531" t="s">
        <v>416</v>
      </c>
      <c r="C1531" t="s">
        <v>14</v>
      </c>
    </row>
    <row r="1532" spans="1:3" x14ac:dyDescent="0.2">
      <c r="A1532" t="s">
        <v>413</v>
      </c>
      <c r="B1532" t="s">
        <v>414</v>
      </c>
      <c r="C1532" t="s">
        <v>45</v>
      </c>
    </row>
    <row r="1533" spans="1:3" x14ac:dyDescent="0.2">
      <c r="A1533" t="s">
        <v>411</v>
      </c>
      <c r="B1533" t="s">
        <v>412</v>
      </c>
      <c r="C1533" t="s">
        <v>17</v>
      </c>
    </row>
    <row r="1534" spans="1:3" x14ac:dyDescent="0.2">
      <c r="A1534" t="s">
        <v>409</v>
      </c>
      <c r="B1534" t="s">
        <v>410</v>
      </c>
      <c r="C1534" t="s">
        <v>17</v>
      </c>
    </row>
    <row r="1535" spans="1:3" x14ac:dyDescent="0.2">
      <c r="A1535" t="s">
        <v>407</v>
      </c>
      <c r="B1535" t="s">
        <v>408</v>
      </c>
      <c r="C1535" t="s">
        <v>38</v>
      </c>
    </row>
    <row r="1536" spans="1:3" x14ac:dyDescent="0.2">
      <c r="A1536" t="s">
        <v>405</v>
      </c>
      <c r="B1536" t="s">
        <v>406</v>
      </c>
      <c r="C1536" t="s">
        <v>14</v>
      </c>
    </row>
    <row r="1537" spans="1:3" x14ac:dyDescent="0.2">
      <c r="A1537" t="s">
        <v>403</v>
      </c>
      <c r="B1537" t="s">
        <v>404</v>
      </c>
      <c r="C1537" t="s">
        <v>14</v>
      </c>
    </row>
    <row r="1538" spans="1:3" x14ac:dyDescent="0.2">
      <c r="A1538" t="s">
        <v>401</v>
      </c>
      <c r="B1538" t="s">
        <v>402</v>
      </c>
      <c r="C1538" t="s">
        <v>45</v>
      </c>
    </row>
    <row r="1539" spans="1:3" x14ac:dyDescent="0.2">
      <c r="A1539" t="s">
        <v>399</v>
      </c>
      <c r="B1539" t="s">
        <v>400</v>
      </c>
      <c r="C1539" t="s">
        <v>14</v>
      </c>
    </row>
    <row r="1540" spans="1:3" x14ac:dyDescent="0.2">
      <c r="A1540" t="s">
        <v>397</v>
      </c>
      <c r="B1540" t="s">
        <v>398</v>
      </c>
      <c r="C1540" t="s">
        <v>14</v>
      </c>
    </row>
    <row r="1541" spans="1:3" x14ac:dyDescent="0.2">
      <c r="A1541" t="s">
        <v>395</v>
      </c>
      <c r="B1541" t="s">
        <v>396</v>
      </c>
      <c r="C1541" t="s">
        <v>45</v>
      </c>
    </row>
    <row r="1542" spans="1:3" x14ac:dyDescent="0.2">
      <c r="A1542" t="s">
        <v>393</v>
      </c>
      <c r="B1542" t="s">
        <v>394</v>
      </c>
      <c r="C1542" t="s">
        <v>45</v>
      </c>
    </row>
    <row r="1543" spans="1:3" x14ac:dyDescent="0.2">
      <c r="A1543" t="s">
        <v>391</v>
      </c>
      <c r="B1543" t="s">
        <v>392</v>
      </c>
      <c r="C1543" t="s">
        <v>45</v>
      </c>
    </row>
    <row r="1544" spans="1:3" x14ac:dyDescent="0.2">
      <c r="A1544" t="s">
        <v>389</v>
      </c>
      <c r="B1544" t="s">
        <v>390</v>
      </c>
      <c r="C1544" t="s">
        <v>14</v>
      </c>
    </row>
    <row r="1545" spans="1:3" x14ac:dyDescent="0.2">
      <c r="A1545" t="s">
        <v>387</v>
      </c>
      <c r="B1545" t="s">
        <v>388</v>
      </c>
      <c r="C1545" t="s">
        <v>45</v>
      </c>
    </row>
    <row r="1546" spans="1:3" x14ac:dyDescent="0.2">
      <c r="A1546" t="s">
        <v>385</v>
      </c>
      <c r="B1546" t="s">
        <v>386</v>
      </c>
      <c r="C1546" t="s">
        <v>45</v>
      </c>
    </row>
    <row r="1547" spans="1:3" x14ac:dyDescent="0.2">
      <c r="A1547" t="s">
        <v>383</v>
      </c>
      <c r="B1547" t="s">
        <v>384</v>
      </c>
      <c r="C1547" t="s">
        <v>45</v>
      </c>
    </row>
    <row r="1548" spans="1:3" x14ac:dyDescent="0.2">
      <c r="A1548" t="s">
        <v>381</v>
      </c>
      <c r="B1548" t="s">
        <v>382</v>
      </c>
      <c r="C1548" t="s">
        <v>17</v>
      </c>
    </row>
    <row r="1549" spans="1:3" x14ac:dyDescent="0.2">
      <c r="A1549" t="s">
        <v>379</v>
      </c>
      <c r="B1549" t="s">
        <v>380</v>
      </c>
      <c r="C1549" t="s">
        <v>17</v>
      </c>
    </row>
    <row r="1550" spans="1:3" x14ac:dyDescent="0.2">
      <c r="A1550" t="s">
        <v>377</v>
      </c>
      <c r="B1550" t="s">
        <v>378</v>
      </c>
      <c r="C1550" t="s">
        <v>45</v>
      </c>
    </row>
    <row r="1551" spans="1:3" x14ac:dyDescent="0.2">
      <c r="A1551" t="s">
        <v>375</v>
      </c>
      <c r="B1551" t="s">
        <v>376</v>
      </c>
      <c r="C1551" t="s">
        <v>14</v>
      </c>
    </row>
    <row r="1552" spans="1:3" x14ac:dyDescent="0.2">
      <c r="A1552" t="s">
        <v>373</v>
      </c>
      <c r="B1552" t="s">
        <v>374</v>
      </c>
      <c r="C1552" t="s">
        <v>17</v>
      </c>
    </row>
    <row r="1553" spans="1:3" x14ac:dyDescent="0.2">
      <c r="A1553" t="s">
        <v>371</v>
      </c>
      <c r="B1553" t="s">
        <v>372</v>
      </c>
      <c r="C1553" t="s">
        <v>17</v>
      </c>
    </row>
    <row r="1554" spans="1:3" x14ac:dyDescent="0.2">
      <c r="A1554" t="s">
        <v>369</v>
      </c>
      <c r="B1554" t="s">
        <v>370</v>
      </c>
      <c r="C1554" t="s">
        <v>17</v>
      </c>
    </row>
    <row r="1555" spans="1:3" x14ac:dyDescent="0.2">
      <c r="A1555" t="s">
        <v>367</v>
      </c>
      <c r="B1555" t="s">
        <v>368</v>
      </c>
      <c r="C1555" t="s">
        <v>17</v>
      </c>
    </row>
    <row r="1556" spans="1:3" x14ac:dyDescent="0.2">
      <c r="A1556" t="s">
        <v>365</v>
      </c>
      <c r="B1556" t="s">
        <v>366</v>
      </c>
      <c r="C1556" t="s">
        <v>45</v>
      </c>
    </row>
    <row r="1557" spans="1:3" x14ac:dyDescent="0.2">
      <c r="A1557" t="s">
        <v>363</v>
      </c>
      <c r="B1557" t="s">
        <v>364</v>
      </c>
      <c r="C1557" t="s">
        <v>14</v>
      </c>
    </row>
    <row r="1558" spans="1:3" x14ac:dyDescent="0.2">
      <c r="A1558" t="s">
        <v>361</v>
      </c>
      <c r="B1558" t="s">
        <v>362</v>
      </c>
      <c r="C1558" t="s">
        <v>14</v>
      </c>
    </row>
    <row r="1559" spans="1:3" x14ac:dyDescent="0.2">
      <c r="A1559" t="s">
        <v>359</v>
      </c>
      <c r="B1559" t="s">
        <v>360</v>
      </c>
      <c r="C1559" t="s">
        <v>45</v>
      </c>
    </row>
    <row r="1560" spans="1:3" x14ac:dyDescent="0.2">
      <c r="A1560" t="s">
        <v>357</v>
      </c>
      <c r="B1560" t="s">
        <v>358</v>
      </c>
      <c r="C1560" t="s">
        <v>14</v>
      </c>
    </row>
    <row r="1561" spans="1:3" x14ac:dyDescent="0.2">
      <c r="A1561" t="s">
        <v>355</v>
      </c>
      <c r="B1561" t="s">
        <v>356</v>
      </c>
      <c r="C1561" t="s">
        <v>38</v>
      </c>
    </row>
    <row r="1562" spans="1:3" x14ac:dyDescent="0.2">
      <c r="A1562" t="s">
        <v>353</v>
      </c>
      <c r="B1562" t="s">
        <v>354</v>
      </c>
      <c r="C1562" t="s">
        <v>14</v>
      </c>
    </row>
    <row r="1563" spans="1:3" x14ac:dyDescent="0.2">
      <c r="A1563" t="s">
        <v>351</v>
      </c>
      <c r="B1563" t="s">
        <v>352</v>
      </c>
      <c r="C1563" t="s">
        <v>14</v>
      </c>
    </row>
    <row r="1564" spans="1:3" x14ac:dyDescent="0.2">
      <c r="A1564" t="s">
        <v>349</v>
      </c>
      <c r="B1564" t="s">
        <v>350</v>
      </c>
      <c r="C1564" t="s">
        <v>14</v>
      </c>
    </row>
    <row r="1565" spans="1:3" x14ac:dyDescent="0.2">
      <c r="A1565" t="s">
        <v>347</v>
      </c>
      <c r="B1565" t="s">
        <v>348</v>
      </c>
      <c r="C1565" t="s">
        <v>45</v>
      </c>
    </row>
    <row r="1566" spans="1:3" x14ac:dyDescent="0.2">
      <c r="A1566" t="s">
        <v>345</v>
      </c>
      <c r="B1566" t="s">
        <v>346</v>
      </c>
      <c r="C1566" t="s">
        <v>38</v>
      </c>
    </row>
    <row r="1567" spans="1:3" x14ac:dyDescent="0.2">
      <c r="A1567" t="s">
        <v>343</v>
      </c>
      <c r="B1567" t="s">
        <v>344</v>
      </c>
      <c r="C1567" t="s">
        <v>14</v>
      </c>
    </row>
    <row r="1568" spans="1:3" x14ac:dyDescent="0.2">
      <c r="A1568" t="s">
        <v>341</v>
      </c>
      <c r="B1568" t="s">
        <v>342</v>
      </c>
      <c r="C1568" t="s">
        <v>17</v>
      </c>
    </row>
    <row r="1569" spans="1:3" x14ac:dyDescent="0.2">
      <c r="A1569" t="s">
        <v>339</v>
      </c>
      <c r="B1569" t="s">
        <v>340</v>
      </c>
      <c r="C1569" t="s">
        <v>17</v>
      </c>
    </row>
    <row r="1570" spans="1:3" x14ac:dyDescent="0.2">
      <c r="A1570" t="s">
        <v>337</v>
      </c>
      <c r="B1570" t="s">
        <v>338</v>
      </c>
      <c r="C1570" t="s">
        <v>14</v>
      </c>
    </row>
    <row r="1571" spans="1:3" x14ac:dyDescent="0.2">
      <c r="A1571" t="s">
        <v>335</v>
      </c>
      <c r="B1571" t="s">
        <v>336</v>
      </c>
      <c r="C1571" t="s">
        <v>45</v>
      </c>
    </row>
    <row r="1572" spans="1:3" x14ac:dyDescent="0.2">
      <c r="A1572" t="s">
        <v>333</v>
      </c>
      <c r="B1572" t="s">
        <v>334</v>
      </c>
      <c r="C1572" t="s">
        <v>14</v>
      </c>
    </row>
    <row r="1573" spans="1:3" x14ac:dyDescent="0.2">
      <c r="A1573" t="s">
        <v>331</v>
      </c>
      <c r="B1573" t="s">
        <v>332</v>
      </c>
      <c r="C1573" t="s">
        <v>45</v>
      </c>
    </row>
    <row r="1574" spans="1:3" x14ac:dyDescent="0.2">
      <c r="A1574" t="s">
        <v>329</v>
      </c>
      <c r="B1574" t="s">
        <v>330</v>
      </c>
      <c r="C1574" t="s">
        <v>45</v>
      </c>
    </row>
    <row r="1575" spans="1:3" x14ac:dyDescent="0.2">
      <c r="A1575" t="s">
        <v>327</v>
      </c>
      <c r="B1575" t="s">
        <v>328</v>
      </c>
      <c r="C1575" t="s">
        <v>14</v>
      </c>
    </row>
    <row r="1576" spans="1:3" x14ac:dyDescent="0.2">
      <c r="A1576" t="s">
        <v>325</v>
      </c>
      <c r="B1576" t="s">
        <v>326</v>
      </c>
      <c r="C1576" t="s">
        <v>14</v>
      </c>
    </row>
    <row r="1577" spans="1:3" x14ac:dyDescent="0.2">
      <c r="A1577" t="s">
        <v>323</v>
      </c>
      <c r="B1577" t="s">
        <v>324</v>
      </c>
      <c r="C1577" t="s">
        <v>14</v>
      </c>
    </row>
    <row r="1578" spans="1:3" x14ac:dyDescent="0.2">
      <c r="A1578" t="s">
        <v>321</v>
      </c>
      <c r="B1578" t="s">
        <v>322</v>
      </c>
      <c r="C1578" t="s">
        <v>14</v>
      </c>
    </row>
    <row r="1579" spans="1:3" x14ac:dyDescent="0.2">
      <c r="A1579" t="s">
        <v>319</v>
      </c>
      <c r="B1579" t="s">
        <v>320</v>
      </c>
      <c r="C1579" t="s">
        <v>14</v>
      </c>
    </row>
    <row r="1580" spans="1:3" x14ac:dyDescent="0.2">
      <c r="A1580" t="s">
        <v>317</v>
      </c>
      <c r="B1580" t="s">
        <v>318</v>
      </c>
      <c r="C1580" t="s">
        <v>14</v>
      </c>
    </row>
    <row r="1581" spans="1:3" x14ac:dyDescent="0.2">
      <c r="A1581" t="s">
        <v>315</v>
      </c>
      <c r="B1581" t="s">
        <v>316</v>
      </c>
      <c r="C1581" t="s">
        <v>14</v>
      </c>
    </row>
    <row r="1582" spans="1:3" x14ac:dyDescent="0.2">
      <c r="A1582" t="s">
        <v>313</v>
      </c>
      <c r="B1582" t="s">
        <v>314</v>
      </c>
      <c r="C1582" t="s">
        <v>14</v>
      </c>
    </row>
    <row r="1583" spans="1:3" x14ac:dyDescent="0.2">
      <c r="A1583" t="s">
        <v>311</v>
      </c>
      <c r="B1583" t="s">
        <v>312</v>
      </c>
      <c r="C1583" t="s">
        <v>17</v>
      </c>
    </row>
    <row r="1584" spans="1:3" x14ac:dyDescent="0.2">
      <c r="A1584" t="s">
        <v>309</v>
      </c>
      <c r="B1584" t="s">
        <v>310</v>
      </c>
      <c r="C1584" t="s">
        <v>14</v>
      </c>
    </row>
    <row r="1585" spans="1:3" x14ac:dyDescent="0.2">
      <c r="A1585" t="s">
        <v>307</v>
      </c>
      <c r="B1585" t="s">
        <v>308</v>
      </c>
      <c r="C1585" t="s">
        <v>45</v>
      </c>
    </row>
    <row r="1586" spans="1:3" x14ac:dyDescent="0.2">
      <c r="A1586" t="s">
        <v>305</v>
      </c>
      <c r="B1586" t="s">
        <v>306</v>
      </c>
      <c r="C1586" t="s">
        <v>17</v>
      </c>
    </row>
    <row r="1587" spans="1:3" x14ac:dyDescent="0.2">
      <c r="A1587" t="s">
        <v>303</v>
      </c>
      <c r="B1587" t="s">
        <v>304</v>
      </c>
      <c r="C1587" t="s">
        <v>14</v>
      </c>
    </row>
    <row r="1588" spans="1:3" x14ac:dyDescent="0.2">
      <c r="A1588" t="s">
        <v>301</v>
      </c>
      <c r="B1588" t="s">
        <v>302</v>
      </c>
      <c r="C1588" t="s">
        <v>14</v>
      </c>
    </row>
    <row r="1589" spans="1:3" x14ac:dyDescent="0.2">
      <c r="A1589" t="s">
        <v>299</v>
      </c>
      <c r="B1589" t="s">
        <v>300</v>
      </c>
      <c r="C1589" t="s">
        <v>14</v>
      </c>
    </row>
    <row r="1590" spans="1:3" x14ac:dyDescent="0.2">
      <c r="A1590" t="s">
        <v>297</v>
      </c>
      <c r="B1590" t="s">
        <v>298</v>
      </c>
      <c r="C1590" t="s">
        <v>45</v>
      </c>
    </row>
    <row r="1591" spans="1:3" x14ac:dyDescent="0.2">
      <c r="A1591" t="s">
        <v>295</v>
      </c>
      <c r="B1591" t="s">
        <v>296</v>
      </c>
      <c r="C1591" t="s">
        <v>14</v>
      </c>
    </row>
    <row r="1592" spans="1:3" x14ac:dyDescent="0.2">
      <c r="A1592" t="s">
        <v>293</v>
      </c>
      <c r="B1592" t="s">
        <v>294</v>
      </c>
      <c r="C1592" t="s">
        <v>45</v>
      </c>
    </row>
    <row r="1593" spans="1:3" x14ac:dyDescent="0.2">
      <c r="A1593" t="s">
        <v>291</v>
      </c>
      <c r="B1593" t="s">
        <v>292</v>
      </c>
      <c r="C1593" t="s">
        <v>14</v>
      </c>
    </row>
    <row r="1594" spans="1:3" x14ac:dyDescent="0.2">
      <c r="A1594" t="s">
        <v>289</v>
      </c>
      <c r="B1594" t="s">
        <v>290</v>
      </c>
      <c r="C1594" t="s">
        <v>14</v>
      </c>
    </row>
    <row r="1595" spans="1:3" x14ac:dyDescent="0.2">
      <c r="A1595" t="s">
        <v>287</v>
      </c>
      <c r="B1595" t="s">
        <v>288</v>
      </c>
      <c r="C1595" t="s">
        <v>17</v>
      </c>
    </row>
    <row r="1596" spans="1:3" x14ac:dyDescent="0.2">
      <c r="A1596" t="s">
        <v>285</v>
      </c>
      <c r="B1596" t="s">
        <v>286</v>
      </c>
      <c r="C1596" t="s">
        <v>14</v>
      </c>
    </row>
    <row r="1597" spans="1:3" x14ac:dyDescent="0.2">
      <c r="A1597" t="s">
        <v>283</v>
      </c>
      <c r="B1597" t="s">
        <v>284</v>
      </c>
      <c r="C1597" t="s">
        <v>45</v>
      </c>
    </row>
    <row r="1598" spans="1:3" x14ac:dyDescent="0.2">
      <c r="A1598" t="s">
        <v>281</v>
      </c>
      <c r="B1598" t="s">
        <v>282</v>
      </c>
      <c r="C1598" t="s">
        <v>14</v>
      </c>
    </row>
    <row r="1599" spans="1:3" x14ac:dyDescent="0.2">
      <c r="A1599" t="s">
        <v>279</v>
      </c>
      <c r="B1599" t="s">
        <v>280</v>
      </c>
      <c r="C1599" t="s">
        <v>14</v>
      </c>
    </row>
    <row r="1600" spans="1:3" x14ac:dyDescent="0.2">
      <c r="A1600" t="s">
        <v>277</v>
      </c>
      <c r="B1600" t="s">
        <v>278</v>
      </c>
      <c r="C1600" t="s">
        <v>14</v>
      </c>
    </row>
    <row r="1601" spans="1:3" x14ac:dyDescent="0.2">
      <c r="A1601" t="s">
        <v>276</v>
      </c>
      <c r="C1601" t="s">
        <v>38</v>
      </c>
    </row>
    <row r="1602" spans="1:3" x14ac:dyDescent="0.2">
      <c r="A1602" t="s">
        <v>274</v>
      </c>
      <c r="B1602" t="s">
        <v>275</v>
      </c>
      <c r="C1602" t="s">
        <v>45</v>
      </c>
    </row>
    <row r="1603" spans="1:3" x14ac:dyDescent="0.2">
      <c r="A1603" t="s">
        <v>272</v>
      </c>
      <c r="B1603" t="s">
        <v>273</v>
      </c>
      <c r="C1603" t="s">
        <v>17</v>
      </c>
    </row>
    <row r="1604" spans="1:3" x14ac:dyDescent="0.2">
      <c r="A1604" t="s">
        <v>270</v>
      </c>
      <c r="B1604" t="s">
        <v>271</v>
      </c>
      <c r="C1604" t="s">
        <v>17</v>
      </c>
    </row>
    <row r="1605" spans="1:3" x14ac:dyDescent="0.2">
      <c r="A1605" t="s">
        <v>7</v>
      </c>
      <c r="B1605" t="s">
        <v>269</v>
      </c>
      <c r="C1605" t="s">
        <v>17</v>
      </c>
    </row>
    <row r="1606" spans="1:3" x14ac:dyDescent="0.2">
      <c r="A1606" t="s">
        <v>267</v>
      </c>
      <c r="B1606" t="s">
        <v>268</v>
      </c>
      <c r="C1606" t="s">
        <v>17</v>
      </c>
    </row>
    <row r="1607" spans="1:3" x14ac:dyDescent="0.2">
      <c r="A1607" t="s">
        <v>265</v>
      </c>
      <c r="B1607" t="s">
        <v>266</v>
      </c>
      <c r="C1607" t="s">
        <v>14</v>
      </c>
    </row>
    <row r="1608" spans="1:3" x14ac:dyDescent="0.2">
      <c r="A1608" t="s">
        <v>263</v>
      </c>
      <c r="B1608" t="s">
        <v>264</v>
      </c>
      <c r="C1608" t="s">
        <v>45</v>
      </c>
    </row>
    <row r="1609" spans="1:3" x14ac:dyDescent="0.2">
      <c r="A1609" t="s">
        <v>261</v>
      </c>
      <c r="B1609" t="s">
        <v>262</v>
      </c>
      <c r="C1609" t="s">
        <v>45</v>
      </c>
    </row>
    <row r="1610" spans="1:3" x14ac:dyDescent="0.2">
      <c r="A1610" t="s">
        <v>259</v>
      </c>
      <c r="B1610" t="s">
        <v>260</v>
      </c>
      <c r="C1610" t="s">
        <v>14</v>
      </c>
    </row>
    <row r="1611" spans="1:3" x14ac:dyDescent="0.2">
      <c r="A1611" t="s">
        <v>257</v>
      </c>
      <c r="B1611" t="s">
        <v>258</v>
      </c>
      <c r="C1611" t="s">
        <v>14</v>
      </c>
    </row>
    <row r="1612" spans="1:3" x14ac:dyDescent="0.2">
      <c r="A1612" t="s">
        <v>255</v>
      </c>
      <c r="B1612" t="s">
        <v>256</v>
      </c>
      <c r="C1612" t="s">
        <v>14</v>
      </c>
    </row>
    <row r="1613" spans="1:3" x14ac:dyDescent="0.2">
      <c r="A1613" t="s">
        <v>253</v>
      </c>
      <c r="B1613" t="s">
        <v>254</v>
      </c>
      <c r="C1613" t="s">
        <v>17</v>
      </c>
    </row>
    <row r="1614" spans="1:3" x14ac:dyDescent="0.2">
      <c r="A1614" t="s">
        <v>251</v>
      </c>
      <c r="B1614" t="s">
        <v>252</v>
      </c>
      <c r="C1614" t="s">
        <v>14</v>
      </c>
    </row>
    <row r="1615" spans="1:3" x14ac:dyDescent="0.2">
      <c r="A1615" t="s">
        <v>249</v>
      </c>
      <c r="B1615" t="s">
        <v>250</v>
      </c>
      <c r="C1615" t="s">
        <v>38</v>
      </c>
    </row>
    <row r="1616" spans="1:3" x14ac:dyDescent="0.2">
      <c r="A1616" t="s">
        <v>247</v>
      </c>
      <c r="B1616" t="s">
        <v>248</v>
      </c>
      <c r="C1616" t="s">
        <v>45</v>
      </c>
    </row>
    <row r="1617" spans="1:3" x14ac:dyDescent="0.2">
      <c r="A1617" t="s">
        <v>245</v>
      </c>
      <c r="B1617" t="s">
        <v>246</v>
      </c>
      <c r="C1617" t="s">
        <v>14</v>
      </c>
    </row>
    <row r="1618" spans="1:3" x14ac:dyDescent="0.2">
      <c r="A1618" t="s">
        <v>243</v>
      </c>
      <c r="B1618" t="s">
        <v>244</v>
      </c>
      <c r="C1618" t="s">
        <v>17</v>
      </c>
    </row>
    <row r="1619" spans="1:3" x14ac:dyDescent="0.2">
      <c r="A1619" t="s">
        <v>241</v>
      </c>
      <c r="B1619" t="s">
        <v>242</v>
      </c>
      <c r="C1619" t="s">
        <v>17</v>
      </c>
    </row>
    <row r="1620" spans="1:3" x14ac:dyDescent="0.2">
      <c r="A1620" t="s">
        <v>239</v>
      </c>
      <c r="B1620" t="s">
        <v>240</v>
      </c>
      <c r="C1620" t="s">
        <v>14</v>
      </c>
    </row>
    <row r="1621" spans="1:3" x14ac:dyDescent="0.2">
      <c r="A1621" t="s">
        <v>237</v>
      </c>
      <c r="B1621" t="s">
        <v>238</v>
      </c>
      <c r="C1621" t="s">
        <v>38</v>
      </c>
    </row>
    <row r="1622" spans="1:3" x14ac:dyDescent="0.2">
      <c r="A1622" t="s">
        <v>235</v>
      </c>
      <c r="B1622" t="s">
        <v>236</v>
      </c>
      <c r="C1622" t="s">
        <v>14</v>
      </c>
    </row>
    <row r="1623" spans="1:3" x14ac:dyDescent="0.2">
      <c r="A1623" t="s">
        <v>233</v>
      </c>
      <c r="B1623" t="s">
        <v>234</v>
      </c>
      <c r="C1623" t="s">
        <v>45</v>
      </c>
    </row>
    <row r="1624" spans="1:3" x14ac:dyDescent="0.2">
      <c r="A1624" t="s">
        <v>231</v>
      </c>
      <c r="B1624" t="s">
        <v>232</v>
      </c>
      <c r="C1624" t="s">
        <v>14</v>
      </c>
    </row>
    <row r="1625" spans="1:3" x14ac:dyDescent="0.2">
      <c r="A1625" t="s">
        <v>229</v>
      </c>
      <c r="B1625" t="s">
        <v>230</v>
      </c>
      <c r="C1625" t="s">
        <v>14</v>
      </c>
    </row>
    <row r="1626" spans="1:3" x14ac:dyDescent="0.2">
      <c r="A1626" t="s">
        <v>227</v>
      </c>
      <c r="B1626" t="s">
        <v>228</v>
      </c>
      <c r="C1626" t="s">
        <v>14</v>
      </c>
    </row>
    <row r="1627" spans="1:3" x14ac:dyDescent="0.2">
      <c r="A1627" t="s">
        <v>225</v>
      </c>
      <c r="B1627" t="s">
        <v>226</v>
      </c>
      <c r="C1627" t="s">
        <v>14</v>
      </c>
    </row>
    <row r="1628" spans="1:3" x14ac:dyDescent="0.2">
      <c r="A1628" t="s">
        <v>223</v>
      </c>
      <c r="B1628" t="s">
        <v>224</v>
      </c>
      <c r="C1628" t="s">
        <v>14</v>
      </c>
    </row>
    <row r="1629" spans="1:3" x14ac:dyDescent="0.2">
      <c r="A1629" t="s">
        <v>221</v>
      </c>
      <c r="B1629" t="s">
        <v>222</v>
      </c>
      <c r="C1629" t="s">
        <v>14</v>
      </c>
    </row>
    <row r="1630" spans="1:3" x14ac:dyDescent="0.2">
      <c r="A1630" t="s">
        <v>219</v>
      </c>
      <c r="B1630" t="s">
        <v>220</v>
      </c>
      <c r="C1630" t="s">
        <v>14</v>
      </c>
    </row>
    <row r="1631" spans="1:3" x14ac:dyDescent="0.2">
      <c r="A1631" t="s">
        <v>217</v>
      </c>
      <c r="B1631" t="s">
        <v>218</v>
      </c>
      <c r="C1631" t="s">
        <v>14</v>
      </c>
    </row>
    <row r="1632" spans="1:3" x14ac:dyDescent="0.2">
      <c r="A1632" t="s">
        <v>215</v>
      </c>
      <c r="B1632" t="s">
        <v>216</v>
      </c>
      <c r="C1632" t="s">
        <v>45</v>
      </c>
    </row>
    <row r="1633" spans="1:3" x14ac:dyDescent="0.2">
      <c r="A1633" t="s">
        <v>213</v>
      </c>
      <c r="B1633" t="s">
        <v>214</v>
      </c>
      <c r="C1633" t="s">
        <v>17</v>
      </c>
    </row>
    <row r="1634" spans="1:3" x14ac:dyDescent="0.2">
      <c r="A1634" t="s">
        <v>211</v>
      </c>
      <c r="B1634" t="s">
        <v>212</v>
      </c>
      <c r="C1634" t="s">
        <v>14</v>
      </c>
    </row>
    <row r="1635" spans="1:3" x14ac:dyDescent="0.2">
      <c r="A1635" t="s">
        <v>209</v>
      </c>
      <c r="B1635" t="s">
        <v>210</v>
      </c>
      <c r="C1635" t="s">
        <v>38</v>
      </c>
    </row>
    <row r="1636" spans="1:3" x14ac:dyDescent="0.2">
      <c r="A1636" t="s">
        <v>207</v>
      </c>
      <c r="B1636" t="s">
        <v>208</v>
      </c>
      <c r="C1636" t="s">
        <v>14</v>
      </c>
    </row>
    <row r="1637" spans="1:3" x14ac:dyDescent="0.2">
      <c r="A1637" t="s">
        <v>205</v>
      </c>
      <c r="B1637" t="s">
        <v>206</v>
      </c>
      <c r="C1637" t="s">
        <v>45</v>
      </c>
    </row>
    <row r="1638" spans="1:3" x14ac:dyDescent="0.2">
      <c r="A1638" t="s">
        <v>203</v>
      </c>
      <c r="B1638" t="s">
        <v>204</v>
      </c>
      <c r="C1638" t="s">
        <v>14</v>
      </c>
    </row>
    <row r="1639" spans="1:3" x14ac:dyDescent="0.2">
      <c r="A1639" t="s">
        <v>201</v>
      </c>
      <c r="B1639" t="s">
        <v>202</v>
      </c>
      <c r="C1639" t="s">
        <v>14</v>
      </c>
    </row>
    <row r="1640" spans="1:3" x14ac:dyDescent="0.2">
      <c r="A1640" t="s">
        <v>199</v>
      </c>
      <c r="B1640" t="s">
        <v>200</v>
      </c>
      <c r="C1640" t="s">
        <v>14</v>
      </c>
    </row>
    <row r="1641" spans="1:3" x14ac:dyDescent="0.2">
      <c r="A1641" t="s">
        <v>197</v>
      </c>
      <c r="B1641" t="s">
        <v>198</v>
      </c>
      <c r="C1641" t="s">
        <v>45</v>
      </c>
    </row>
    <row r="1642" spans="1:3" x14ac:dyDescent="0.2">
      <c r="A1642" t="s">
        <v>195</v>
      </c>
      <c r="B1642" t="s">
        <v>196</v>
      </c>
      <c r="C1642" t="s">
        <v>17</v>
      </c>
    </row>
    <row r="1643" spans="1:3" x14ac:dyDescent="0.2">
      <c r="A1643" t="s">
        <v>193</v>
      </c>
      <c r="B1643" t="s">
        <v>194</v>
      </c>
      <c r="C1643" t="s">
        <v>17</v>
      </c>
    </row>
    <row r="1644" spans="1:3" x14ac:dyDescent="0.2">
      <c r="A1644" t="s">
        <v>191</v>
      </c>
      <c r="B1644" t="s">
        <v>192</v>
      </c>
      <c r="C1644" t="s">
        <v>45</v>
      </c>
    </row>
    <row r="1645" spans="1:3" x14ac:dyDescent="0.2">
      <c r="A1645" t="s">
        <v>189</v>
      </c>
      <c r="B1645" t="s">
        <v>190</v>
      </c>
      <c r="C1645" t="s">
        <v>17</v>
      </c>
    </row>
    <row r="1646" spans="1:3" x14ac:dyDescent="0.2">
      <c r="A1646" t="s">
        <v>187</v>
      </c>
      <c r="B1646" t="s">
        <v>188</v>
      </c>
      <c r="C1646" t="s">
        <v>14</v>
      </c>
    </row>
    <row r="1647" spans="1:3" x14ac:dyDescent="0.2">
      <c r="A1647" t="s">
        <v>185</v>
      </c>
      <c r="B1647" t="s">
        <v>186</v>
      </c>
      <c r="C1647" t="s">
        <v>14</v>
      </c>
    </row>
    <row r="1648" spans="1:3" x14ac:dyDescent="0.2">
      <c r="A1648" t="s">
        <v>183</v>
      </c>
      <c r="B1648" t="s">
        <v>184</v>
      </c>
      <c r="C1648" t="s">
        <v>17</v>
      </c>
    </row>
    <row r="1649" spans="1:3" x14ac:dyDescent="0.2">
      <c r="A1649" t="s">
        <v>8</v>
      </c>
      <c r="B1649" t="s">
        <v>182</v>
      </c>
      <c r="C1649" t="s">
        <v>17</v>
      </c>
    </row>
    <row r="1650" spans="1:3" x14ac:dyDescent="0.2">
      <c r="A1650" t="s">
        <v>180</v>
      </c>
      <c r="B1650" t="s">
        <v>181</v>
      </c>
      <c r="C1650" t="s">
        <v>14</v>
      </c>
    </row>
    <row r="1651" spans="1:3" x14ac:dyDescent="0.2">
      <c r="A1651" t="s">
        <v>178</v>
      </c>
      <c r="B1651" t="s">
        <v>179</v>
      </c>
      <c r="C1651" t="s">
        <v>45</v>
      </c>
    </row>
    <row r="1652" spans="1:3" x14ac:dyDescent="0.2">
      <c r="A1652" t="s">
        <v>176</v>
      </c>
      <c r="B1652" t="s">
        <v>177</v>
      </c>
      <c r="C1652" t="s">
        <v>17</v>
      </c>
    </row>
    <row r="1653" spans="1:3" x14ac:dyDescent="0.2">
      <c r="A1653" t="s">
        <v>174</v>
      </c>
      <c r="B1653" t="s">
        <v>175</v>
      </c>
      <c r="C1653" t="s">
        <v>45</v>
      </c>
    </row>
    <row r="1654" spans="1:3" x14ac:dyDescent="0.2">
      <c r="A1654" t="s">
        <v>172</v>
      </c>
      <c r="B1654" t="s">
        <v>173</v>
      </c>
      <c r="C1654" t="s">
        <v>14</v>
      </c>
    </row>
    <row r="1655" spans="1:3" x14ac:dyDescent="0.2">
      <c r="A1655" t="s">
        <v>170</v>
      </c>
      <c r="B1655" t="s">
        <v>171</v>
      </c>
      <c r="C1655" t="s">
        <v>14</v>
      </c>
    </row>
    <row r="1656" spans="1:3" x14ac:dyDescent="0.2">
      <c r="A1656" t="s">
        <v>168</v>
      </c>
      <c r="B1656" t="s">
        <v>169</v>
      </c>
      <c r="C1656" t="s">
        <v>14</v>
      </c>
    </row>
    <row r="1657" spans="1:3" x14ac:dyDescent="0.2">
      <c r="A1657" t="s">
        <v>166</v>
      </c>
      <c r="B1657" t="s">
        <v>167</v>
      </c>
      <c r="C1657" t="s">
        <v>14</v>
      </c>
    </row>
    <row r="1658" spans="1:3" x14ac:dyDescent="0.2">
      <c r="A1658" t="s">
        <v>164</v>
      </c>
      <c r="B1658" t="s">
        <v>165</v>
      </c>
      <c r="C1658" t="s">
        <v>17</v>
      </c>
    </row>
    <row r="1659" spans="1:3" x14ac:dyDescent="0.2">
      <c r="A1659" t="s">
        <v>162</v>
      </c>
      <c r="B1659" t="s">
        <v>163</v>
      </c>
      <c r="C1659" t="s">
        <v>14</v>
      </c>
    </row>
    <row r="1660" spans="1:3" x14ac:dyDescent="0.2">
      <c r="A1660" t="s">
        <v>160</v>
      </c>
      <c r="B1660" t="s">
        <v>161</v>
      </c>
      <c r="C1660" t="s">
        <v>17</v>
      </c>
    </row>
    <row r="1661" spans="1:3" x14ac:dyDescent="0.2">
      <c r="A1661" t="s">
        <v>158</v>
      </c>
      <c r="B1661" t="s">
        <v>159</v>
      </c>
      <c r="C1661" t="s">
        <v>14</v>
      </c>
    </row>
    <row r="1662" spans="1:3" x14ac:dyDescent="0.2">
      <c r="A1662" t="s">
        <v>156</v>
      </c>
      <c r="B1662" t="s">
        <v>157</v>
      </c>
      <c r="C1662" t="s">
        <v>17</v>
      </c>
    </row>
    <row r="1663" spans="1:3" x14ac:dyDescent="0.2">
      <c r="A1663" t="s">
        <v>154</v>
      </c>
      <c r="B1663" t="s">
        <v>155</v>
      </c>
      <c r="C1663" t="s">
        <v>17</v>
      </c>
    </row>
    <row r="1664" spans="1:3" x14ac:dyDescent="0.2">
      <c r="A1664" t="s">
        <v>152</v>
      </c>
      <c r="B1664" t="s">
        <v>153</v>
      </c>
      <c r="C1664" t="s">
        <v>17</v>
      </c>
    </row>
    <row r="1665" spans="1:3" x14ac:dyDescent="0.2">
      <c r="A1665" t="s">
        <v>150</v>
      </c>
      <c r="B1665" t="s">
        <v>151</v>
      </c>
      <c r="C1665" t="s">
        <v>17</v>
      </c>
    </row>
    <row r="1666" spans="1:3" x14ac:dyDescent="0.2">
      <c r="A1666" t="s">
        <v>148</v>
      </c>
      <c r="B1666" t="s">
        <v>149</v>
      </c>
      <c r="C1666" t="s">
        <v>17</v>
      </c>
    </row>
    <row r="1667" spans="1:3" x14ac:dyDescent="0.2">
      <c r="A1667" t="s">
        <v>146</v>
      </c>
      <c r="B1667" t="s">
        <v>147</v>
      </c>
      <c r="C1667" t="s">
        <v>14</v>
      </c>
    </row>
    <row r="1668" spans="1:3" x14ac:dyDescent="0.2">
      <c r="A1668" t="s">
        <v>144</v>
      </c>
      <c r="B1668" t="s">
        <v>145</v>
      </c>
      <c r="C1668" t="s">
        <v>17</v>
      </c>
    </row>
    <row r="1669" spans="1:3" x14ac:dyDescent="0.2">
      <c r="A1669" t="s">
        <v>142</v>
      </c>
      <c r="B1669" t="s">
        <v>143</v>
      </c>
      <c r="C1669" t="s">
        <v>14</v>
      </c>
    </row>
    <row r="1670" spans="1:3" x14ac:dyDescent="0.2">
      <c r="A1670" t="s">
        <v>140</v>
      </c>
      <c r="B1670" t="s">
        <v>141</v>
      </c>
      <c r="C1670" t="s">
        <v>17</v>
      </c>
    </row>
    <row r="1671" spans="1:3" x14ac:dyDescent="0.2">
      <c r="A1671" t="s">
        <v>138</v>
      </c>
      <c r="B1671" t="s">
        <v>139</v>
      </c>
      <c r="C1671" t="s">
        <v>14</v>
      </c>
    </row>
    <row r="1672" spans="1:3" x14ac:dyDescent="0.2">
      <c r="A1672" t="s">
        <v>136</v>
      </c>
      <c r="B1672" t="s">
        <v>137</v>
      </c>
      <c r="C1672" t="s">
        <v>17</v>
      </c>
    </row>
    <row r="1673" spans="1:3" x14ac:dyDescent="0.2">
      <c r="A1673" t="s">
        <v>134</v>
      </c>
      <c r="B1673" t="s">
        <v>135</v>
      </c>
      <c r="C1673" t="s">
        <v>17</v>
      </c>
    </row>
    <row r="1674" spans="1:3" x14ac:dyDescent="0.2">
      <c r="A1674" t="s">
        <v>132</v>
      </c>
      <c r="B1674" t="s">
        <v>133</v>
      </c>
      <c r="C1674" t="s">
        <v>14</v>
      </c>
    </row>
    <row r="1675" spans="1:3" x14ac:dyDescent="0.2">
      <c r="A1675" t="s">
        <v>130</v>
      </c>
      <c r="B1675" t="s">
        <v>131</v>
      </c>
      <c r="C1675" t="s">
        <v>45</v>
      </c>
    </row>
    <row r="1676" spans="1:3" x14ac:dyDescent="0.2">
      <c r="A1676" t="s">
        <v>128</v>
      </c>
      <c r="B1676" t="s">
        <v>129</v>
      </c>
      <c r="C1676" t="s">
        <v>17</v>
      </c>
    </row>
    <row r="1677" spans="1:3" x14ac:dyDescent="0.2">
      <c r="A1677" t="s">
        <v>126</v>
      </c>
      <c r="B1677" t="s">
        <v>127</v>
      </c>
      <c r="C1677" t="s">
        <v>14</v>
      </c>
    </row>
    <row r="1678" spans="1:3" x14ac:dyDescent="0.2">
      <c r="A1678" t="s">
        <v>124</v>
      </c>
      <c r="B1678" t="s">
        <v>125</v>
      </c>
      <c r="C1678" t="s">
        <v>14</v>
      </c>
    </row>
    <row r="1679" spans="1:3" x14ac:dyDescent="0.2">
      <c r="A1679" t="s">
        <v>122</v>
      </c>
      <c r="B1679" t="s">
        <v>123</v>
      </c>
      <c r="C1679" t="s">
        <v>14</v>
      </c>
    </row>
    <row r="1680" spans="1:3" x14ac:dyDescent="0.2">
      <c r="A1680" t="s">
        <v>120</v>
      </c>
      <c r="B1680" t="s">
        <v>121</v>
      </c>
      <c r="C1680" t="s">
        <v>17</v>
      </c>
    </row>
    <row r="1681" spans="1:3" x14ac:dyDescent="0.2">
      <c r="A1681" t="s">
        <v>118</v>
      </c>
      <c r="B1681" t="s">
        <v>119</v>
      </c>
      <c r="C1681" t="s">
        <v>17</v>
      </c>
    </row>
    <row r="1682" spans="1:3" x14ac:dyDescent="0.2">
      <c r="A1682" t="s">
        <v>116</v>
      </c>
      <c r="B1682" t="s">
        <v>117</v>
      </c>
      <c r="C1682" t="s">
        <v>45</v>
      </c>
    </row>
    <row r="1683" spans="1:3" x14ac:dyDescent="0.2">
      <c r="A1683" t="s">
        <v>114</v>
      </c>
      <c r="B1683" t="s">
        <v>115</v>
      </c>
      <c r="C1683" t="s">
        <v>14</v>
      </c>
    </row>
    <row r="1684" spans="1:3" x14ac:dyDescent="0.2">
      <c r="A1684" t="s">
        <v>112</v>
      </c>
      <c r="B1684" t="s">
        <v>113</v>
      </c>
      <c r="C1684" t="s">
        <v>38</v>
      </c>
    </row>
    <row r="1685" spans="1:3" x14ac:dyDescent="0.2">
      <c r="A1685" t="s">
        <v>110</v>
      </c>
      <c r="B1685" t="s">
        <v>111</v>
      </c>
      <c r="C1685" t="s">
        <v>14</v>
      </c>
    </row>
    <row r="1686" spans="1:3" x14ac:dyDescent="0.2">
      <c r="A1686" t="s">
        <v>108</v>
      </c>
      <c r="B1686" t="s">
        <v>109</v>
      </c>
      <c r="C1686" t="s">
        <v>14</v>
      </c>
    </row>
    <row r="1687" spans="1:3" x14ac:dyDescent="0.2">
      <c r="A1687" t="s">
        <v>106</v>
      </c>
      <c r="B1687" t="s">
        <v>107</v>
      </c>
      <c r="C1687" t="s">
        <v>17</v>
      </c>
    </row>
    <row r="1688" spans="1:3" x14ac:dyDescent="0.2">
      <c r="A1688" t="s">
        <v>104</v>
      </c>
      <c r="B1688" t="s">
        <v>105</v>
      </c>
      <c r="C1688" t="s">
        <v>45</v>
      </c>
    </row>
    <row r="1689" spans="1:3" x14ac:dyDescent="0.2">
      <c r="A1689" t="s">
        <v>102</v>
      </c>
      <c r="B1689" t="s">
        <v>103</v>
      </c>
      <c r="C1689" t="s">
        <v>14</v>
      </c>
    </row>
    <row r="1690" spans="1:3" x14ac:dyDescent="0.2">
      <c r="A1690" t="s">
        <v>100</v>
      </c>
      <c r="B1690" t="s">
        <v>101</v>
      </c>
      <c r="C1690" t="s">
        <v>14</v>
      </c>
    </row>
    <row r="1691" spans="1:3" x14ac:dyDescent="0.2">
      <c r="A1691" t="s">
        <v>98</v>
      </c>
      <c r="B1691" t="s">
        <v>99</v>
      </c>
      <c r="C1691" t="s">
        <v>14</v>
      </c>
    </row>
    <row r="1692" spans="1:3" x14ac:dyDescent="0.2">
      <c r="A1692" t="s">
        <v>96</v>
      </c>
      <c r="B1692" t="s">
        <v>97</v>
      </c>
      <c r="C1692" t="s">
        <v>45</v>
      </c>
    </row>
    <row r="1693" spans="1:3" x14ac:dyDescent="0.2">
      <c r="A1693" t="s">
        <v>94</v>
      </c>
      <c r="B1693" t="s">
        <v>95</v>
      </c>
      <c r="C1693" t="s">
        <v>14</v>
      </c>
    </row>
    <row r="1694" spans="1:3" x14ac:dyDescent="0.2">
      <c r="A1694" t="s">
        <v>92</v>
      </c>
      <c r="B1694" t="s">
        <v>93</v>
      </c>
      <c r="C1694" t="s">
        <v>45</v>
      </c>
    </row>
    <row r="1695" spans="1:3" x14ac:dyDescent="0.2">
      <c r="A1695" t="s">
        <v>90</v>
      </c>
      <c r="B1695" t="s">
        <v>91</v>
      </c>
      <c r="C1695" t="s">
        <v>14</v>
      </c>
    </row>
    <row r="1696" spans="1:3" x14ac:dyDescent="0.2">
      <c r="A1696" t="s">
        <v>88</v>
      </c>
      <c r="B1696" t="s">
        <v>89</v>
      </c>
      <c r="C1696" t="s">
        <v>38</v>
      </c>
    </row>
    <row r="1697" spans="1:3" x14ac:dyDescent="0.2">
      <c r="A1697" t="s">
        <v>86</v>
      </c>
      <c r="B1697" t="s">
        <v>87</v>
      </c>
      <c r="C1697" t="s">
        <v>14</v>
      </c>
    </row>
    <row r="1698" spans="1:3" x14ac:dyDescent="0.2">
      <c r="A1698" t="s">
        <v>84</v>
      </c>
      <c r="B1698" t="s">
        <v>85</v>
      </c>
      <c r="C1698" t="s">
        <v>17</v>
      </c>
    </row>
    <row r="1699" spans="1:3" x14ac:dyDescent="0.2">
      <c r="A1699" t="s">
        <v>82</v>
      </c>
      <c r="B1699" t="s">
        <v>83</v>
      </c>
      <c r="C1699" t="s">
        <v>17</v>
      </c>
    </row>
    <row r="1700" spans="1:3" x14ac:dyDescent="0.2">
      <c r="A1700" t="s">
        <v>80</v>
      </c>
      <c r="B1700" t="s">
        <v>81</v>
      </c>
      <c r="C1700" t="s">
        <v>14</v>
      </c>
    </row>
    <row r="1701" spans="1:3" x14ac:dyDescent="0.2">
      <c r="A1701" t="s">
        <v>78</v>
      </c>
      <c r="B1701" t="s">
        <v>79</v>
      </c>
      <c r="C1701" t="s">
        <v>14</v>
      </c>
    </row>
    <row r="1702" spans="1:3" x14ac:dyDescent="0.2">
      <c r="A1702" t="s">
        <v>76</v>
      </c>
      <c r="B1702" t="s">
        <v>77</v>
      </c>
      <c r="C1702" t="s">
        <v>14</v>
      </c>
    </row>
    <row r="1703" spans="1:3" x14ac:dyDescent="0.2">
      <c r="A1703" t="s">
        <v>74</v>
      </c>
      <c r="B1703" t="s">
        <v>75</v>
      </c>
      <c r="C1703" t="s">
        <v>45</v>
      </c>
    </row>
    <row r="1704" spans="1:3" x14ac:dyDescent="0.2">
      <c r="A1704" t="s">
        <v>72</v>
      </c>
      <c r="B1704" t="s">
        <v>73</v>
      </c>
      <c r="C1704" t="s">
        <v>14</v>
      </c>
    </row>
    <row r="1705" spans="1:3" x14ac:dyDescent="0.2">
      <c r="A1705" t="s">
        <v>70</v>
      </c>
      <c r="B1705" t="s">
        <v>71</v>
      </c>
      <c r="C1705" t="s">
        <v>45</v>
      </c>
    </row>
    <row r="1706" spans="1:3" x14ac:dyDescent="0.2">
      <c r="A1706" t="s">
        <v>68</v>
      </c>
      <c r="B1706" t="s">
        <v>69</v>
      </c>
      <c r="C1706" t="s">
        <v>14</v>
      </c>
    </row>
    <row r="1707" spans="1:3" x14ac:dyDescent="0.2">
      <c r="A1707" t="s">
        <v>66</v>
      </c>
      <c r="B1707" t="s">
        <v>67</v>
      </c>
      <c r="C1707" t="s">
        <v>14</v>
      </c>
    </row>
    <row r="1708" spans="1:3" x14ac:dyDescent="0.2">
      <c r="A1708" t="s">
        <v>64</v>
      </c>
      <c r="B1708" t="s">
        <v>65</v>
      </c>
      <c r="C1708" t="s">
        <v>17</v>
      </c>
    </row>
    <row r="1709" spans="1:3" x14ac:dyDescent="0.2">
      <c r="A1709" t="s">
        <v>62</v>
      </c>
      <c r="B1709" t="s">
        <v>63</v>
      </c>
      <c r="C1709" t="s">
        <v>14</v>
      </c>
    </row>
    <row r="1710" spans="1:3" x14ac:dyDescent="0.2">
      <c r="A1710" t="s">
        <v>60</v>
      </c>
      <c r="B1710" t="s">
        <v>61</v>
      </c>
      <c r="C1710" t="s">
        <v>14</v>
      </c>
    </row>
    <row r="1711" spans="1:3" x14ac:dyDescent="0.2">
      <c r="A1711" t="s">
        <v>58</v>
      </c>
      <c r="B1711" t="s">
        <v>59</v>
      </c>
      <c r="C1711" t="s">
        <v>14</v>
      </c>
    </row>
    <row r="1712" spans="1:3" x14ac:dyDescent="0.2">
      <c r="A1712" t="s">
        <v>56</v>
      </c>
      <c r="B1712" t="s">
        <v>57</v>
      </c>
      <c r="C1712" t="s">
        <v>14</v>
      </c>
    </row>
    <row r="1713" spans="1:3" x14ac:dyDescent="0.2">
      <c r="A1713" t="s">
        <v>54</v>
      </c>
      <c r="B1713" t="s">
        <v>55</v>
      </c>
      <c r="C1713" t="s">
        <v>14</v>
      </c>
    </row>
    <row r="1714" spans="1:3" x14ac:dyDescent="0.2">
      <c r="A1714" t="s">
        <v>52</v>
      </c>
      <c r="B1714" t="s">
        <v>53</v>
      </c>
      <c r="C1714" t="s">
        <v>45</v>
      </c>
    </row>
    <row r="1715" spans="1:3" x14ac:dyDescent="0.2">
      <c r="A1715" t="s">
        <v>50</v>
      </c>
      <c r="B1715" t="s">
        <v>51</v>
      </c>
      <c r="C1715" t="s">
        <v>14</v>
      </c>
    </row>
    <row r="1716" spans="1:3" x14ac:dyDescent="0.2">
      <c r="A1716" t="s">
        <v>48</v>
      </c>
      <c r="B1716" t="s">
        <v>49</v>
      </c>
      <c r="C1716" t="s">
        <v>45</v>
      </c>
    </row>
    <row r="1717" spans="1:3" x14ac:dyDescent="0.2">
      <c r="A1717" t="s">
        <v>46</v>
      </c>
      <c r="B1717" t="s">
        <v>47</v>
      </c>
      <c r="C1717" t="s">
        <v>14</v>
      </c>
    </row>
    <row r="1718" spans="1:3" x14ac:dyDescent="0.2">
      <c r="A1718" t="s">
        <v>43</v>
      </c>
      <c r="B1718" t="s">
        <v>44</v>
      </c>
      <c r="C1718" t="s">
        <v>45</v>
      </c>
    </row>
    <row r="1719" spans="1:3" x14ac:dyDescent="0.2">
      <c r="A1719" t="s">
        <v>41</v>
      </c>
      <c r="B1719" t="s">
        <v>42</v>
      </c>
      <c r="C1719" t="s">
        <v>14</v>
      </c>
    </row>
    <row r="1720" spans="1:3" x14ac:dyDescent="0.2">
      <c r="A1720" t="s">
        <v>39</v>
      </c>
      <c r="B1720" t="s">
        <v>40</v>
      </c>
      <c r="C1720" t="s">
        <v>14</v>
      </c>
    </row>
    <row r="1721" spans="1:3" x14ac:dyDescent="0.2">
      <c r="A1721" t="s">
        <v>36</v>
      </c>
      <c r="B1721" t="s">
        <v>37</v>
      </c>
      <c r="C1721" t="s">
        <v>38</v>
      </c>
    </row>
    <row r="1722" spans="1:3" x14ac:dyDescent="0.2">
      <c r="A1722" t="s">
        <v>34</v>
      </c>
      <c r="B1722" t="s">
        <v>35</v>
      </c>
      <c r="C1722" t="s">
        <v>14</v>
      </c>
    </row>
    <row r="1723" spans="1:3" x14ac:dyDescent="0.2">
      <c r="A1723" t="s">
        <v>32</v>
      </c>
      <c r="B1723" t="s">
        <v>33</v>
      </c>
      <c r="C1723" t="s">
        <v>14</v>
      </c>
    </row>
    <row r="1724" spans="1:3" x14ac:dyDescent="0.2">
      <c r="A1724" t="s">
        <v>30</v>
      </c>
      <c r="B1724" t="s">
        <v>31</v>
      </c>
      <c r="C1724" t="s">
        <v>14</v>
      </c>
    </row>
    <row r="1725" spans="1:3" x14ac:dyDescent="0.2">
      <c r="A1725" t="s">
        <v>28</v>
      </c>
      <c r="B1725" t="s">
        <v>29</v>
      </c>
      <c r="C1725" t="s">
        <v>14</v>
      </c>
    </row>
    <row r="1726" spans="1:3" x14ac:dyDescent="0.2">
      <c r="A1726" t="s">
        <v>26</v>
      </c>
      <c r="B1726" t="s">
        <v>27</v>
      </c>
      <c r="C1726" t="s">
        <v>14</v>
      </c>
    </row>
    <row r="1727" spans="1:3" x14ac:dyDescent="0.2">
      <c r="A1727" t="s">
        <v>24</v>
      </c>
      <c r="B1727" t="s">
        <v>25</v>
      </c>
      <c r="C1727" t="s">
        <v>14</v>
      </c>
    </row>
    <row r="1728" spans="1:3" x14ac:dyDescent="0.2">
      <c r="A1728" t="s">
        <v>22</v>
      </c>
      <c r="B1728" t="s">
        <v>23</v>
      </c>
      <c r="C1728" t="s">
        <v>14</v>
      </c>
    </row>
    <row r="1729" spans="1:3" x14ac:dyDescent="0.2">
      <c r="A1729" t="s">
        <v>20</v>
      </c>
      <c r="B1729" t="s">
        <v>21</v>
      </c>
      <c r="C1729" t="s">
        <v>14</v>
      </c>
    </row>
    <row r="1730" spans="1:3" x14ac:dyDescent="0.2">
      <c r="A1730" t="s">
        <v>18</v>
      </c>
      <c r="B1730" t="s">
        <v>19</v>
      </c>
      <c r="C1730" t="s">
        <v>17</v>
      </c>
    </row>
    <row r="1731" spans="1:3" x14ac:dyDescent="0.2">
      <c r="A1731" t="s">
        <v>15</v>
      </c>
      <c r="B1731" t="s">
        <v>16</v>
      </c>
      <c r="C1731" t="s">
        <v>17</v>
      </c>
    </row>
    <row r="1732" spans="1:3" x14ac:dyDescent="0.2">
      <c r="A1732" t="s">
        <v>12</v>
      </c>
      <c r="B1732" t="s">
        <v>13</v>
      </c>
      <c r="C1732" t="s">
        <v>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4141-0D52-4FF8-A2E4-45589A7B962B}">
  <dimension ref="A3:C9"/>
  <sheetViews>
    <sheetView workbookViewId="0">
      <selection activeCell="B9" sqref="B9"/>
    </sheetView>
  </sheetViews>
  <sheetFormatPr baseColWidth="10" defaultColWidth="8.83203125" defaultRowHeight="16" x14ac:dyDescent="0.2"/>
  <cols>
    <col min="1" max="1" width="13" bestFit="1" customWidth="1"/>
    <col min="2" max="2" width="16" bestFit="1" customWidth="1"/>
    <col min="3" max="3" width="10.5" bestFit="1" customWidth="1"/>
    <col min="4" max="5" width="10.6640625" bestFit="1" customWidth="1"/>
    <col min="6" max="6" width="11.6640625" bestFit="1" customWidth="1"/>
    <col min="7" max="7" width="10.5" bestFit="1" customWidth="1"/>
    <col min="8" max="8" width="17.6640625" bestFit="1" customWidth="1"/>
    <col min="11" max="11" width="13" bestFit="1" customWidth="1"/>
    <col min="12" max="12" width="17.5" bestFit="1" customWidth="1"/>
    <col min="13" max="13" width="5.33203125" bestFit="1" customWidth="1"/>
    <col min="14" max="14" width="10.1640625" bestFit="1" customWidth="1"/>
    <col min="16" max="16" width="21.83203125" bestFit="1" customWidth="1"/>
    <col min="17" max="17" width="16" bestFit="1" customWidth="1"/>
    <col min="18" max="18" width="12.6640625" bestFit="1" customWidth="1"/>
    <col min="19" max="19" width="10.6640625" bestFit="1" customWidth="1"/>
    <col min="20" max="20" width="11.6640625" bestFit="1" customWidth="1"/>
  </cols>
  <sheetData>
    <row r="3" spans="1:3" x14ac:dyDescent="0.2">
      <c r="A3" s="4" t="s">
        <v>3455</v>
      </c>
      <c r="B3" t="s">
        <v>3498</v>
      </c>
    </row>
    <row r="4" spans="1:3" x14ac:dyDescent="0.2">
      <c r="A4" s="4" t="s">
        <v>3453</v>
      </c>
      <c r="B4" t="s">
        <v>3475</v>
      </c>
    </row>
    <row r="6" spans="1:3" x14ac:dyDescent="0.2">
      <c r="A6" s="4" t="s">
        <v>3474</v>
      </c>
      <c r="B6" s="4" t="s">
        <v>3490</v>
      </c>
    </row>
    <row r="7" spans="1:3" x14ac:dyDescent="0.2">
      <c r="A7" s="4" t="s">
        <v>3472</v>
      </c>
      <c r="B7" t="s">
        <v>8</v>
      </c>
      <c r="C7" t="s">
        <v>3473</v>
      </c>
    </row>
    <row r="8" spans="1:3" x14ac:dyDescent="0.2">
      <c r="A8" s="42">
        <v>46029</v>
      </c>
      <c r="B8" s="6">
        <v>-63795</v>
      </c>
      <c r="C8" s="6">
        <v>-63795</v>
      </c>
    </row>
    <row r="9" spans="1:3" x14ac:dyDescent="0.2">
      <c r="A9" s="5" t="s">
        <v>3473</v>
      </c>
      <c r="B9" s="6">
        <v>-63795</v>
      </c>
      <c r="C9" s="6">
        <v>-63795</v>
      </c>
    </row>
  </sheetData>
  <sheetProtection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60BB-F9CC-4B40-9244-7A35706A2E30}">
  <dimension ref="A1:B6"/>
  <sheetViews>
    <sheetView workbookViewId="0">
      <selection activeCell="B9" sqref="B9"/>
    </sheetView>
  </sheetViews>
  <sheetFormatPr baseColWidth="10" defaultColWidth="11" defaultRowHeight="16" x14ac:dyDescent="0.2"/>
  <cols>
    <col min="1" max="1" width="13" bestFit="1" customWidth="1"/>
    <col min="2" max="2" width="21.83203125" bestFit="1" customWidth="1"/>
  </cols>
  <sheetData>
    <row r="1" spans="1:2" x14ac:dyDescent="0.2">
      <c r="A1" s="4" t="s">
        <v>3455</v>
      </c>
      <c r="B1" t="s">
        <v>3475</v>
      </c>
    </row>
    <row r="2" spans="1:2" x14ac:dyDescent="0.2">
      <c r="A2" s="4" t="s">
        <v>3453</v>
      </c>
      <c r="B2" t="s">
        <v>3475</v>
      </c>
    </row>
    <row r="4" spans="1:2" x14ac:dyDescent="0.2">
      <c r="A4" s="4" t="s">
        <v>3472</v>
      </c>
      <c r="B4" t="s">
        <v>3476</v>
      </c>
    </row>
    <row r="5" spans="1:2" x14ac:dyDescent="0.2">
      <c r="A5" s="5" t="s">
        <v>8</v>
      </c>
      <c r="B5" s="6">
        <v>100000</v>
      </c>
    </row>
    <row r="6" spans="1:2" x14ac:dyDescent="0.2">
      <c r="A6" s="5" t="s">
        <v>3473</v>
      </c>
      <c r="B6" s="6">
        <v>100000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F87A-0C4B-AA45-9695-76779FFEB569}">
  <dimension ref="A1:B6"/>
  <sheetViews>
    <sheetView workbookViewId="0">
      <selection activeCell="B9" sqref="B9"/>
      <pivotSelection pane="bottomRight" showHeader="1" click="1" r:id="rId1">
        <pivotArea type="all" dataOnly="0" outline="0" fieldPosition="0"/>
      </pivotSelection>
    </sheetView>
  </sheetViews>
  <sheetFormatPr baseColWidth="10" defaultColWidth="11" defaultRowHeight="16" x14ac:dyDescent="0.2"/>
  <cols>
    <col min="1" max="1" width="13" bestFit="1" customWidth="1"/>
    <col min="2" max="2" width="17.5" bestFit="1" customWidth="1"/>
  </cols>
  <sheetData>
    <row r="1" spans="1:2" x14ac:dyDescent="0.2">
      <c r="A1" s="4" t="s">
        <v>3455</v>
      </c>
      <c r="B1" t="s">
        <v>3475</v>
      </c>
    </row>
    <row r="2" spans="1:2" x14ac:dyDescent="0.2">
      <c r="A2" s="4" t="s">
        <v>3453</v>
      </c>
      <c r="B2" t="s">
        <v>3475</v>
      </c>
    </row>
    <row r="4" spans="1:2" x14ac:dyDescent="0.2">
      <c r="A4" s="4" t="s">
        <v>3472</v>
      </c>
      <c r="B4" t="s">
        <v>3491</v>
      </c>
    </row>
    <row r="5" spans="1:2" x14ac:dyDescent="0.2">
      <c r="A5" s="5" t="s">
        <v>8</v>
      </c>
      <c r="B5" s="19">
        <v>2</v>
      </c>
    </row>
    <row r="6" spans="1:2" x14ac:dyDescent="0.2">
      <c r="A6" s="5" t="s">
        <v>3473</v>
      </c>
      <c r="B6" s="19">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BD45E-2299-384D-A909-641E87241E1E}">
  <dimension ref="A1:C7"/>
  <sheetViews>
    <sheetView workbookViewId="0">
      <selection activeCell="B9" sqref="B9"/>
    </sheetView>
  </sheetViews>
  <sheetFormatPr baseColWidth="10" defaultColWidth="11" defaultRowHeight="16" x14ac:dyDescent="0.2"/>
  <cols>
    <col min="1" max="1" width="21.83203125" bestFit="1" customWidth="1"/>
    <col min="2" max="2" width="16" bestFit="1" customWidth="1"/>
    <col min="3" max="3" width="10.5" bestFit="1" customWidth="1"/>
    <col min="4" max="7" width="12.6640625" bestFit="1" customWidth="1"/>
  </cols>
  <sheetData>
    <row r="1" spans="1:3" x14ac:dyDescent="0.2">
      <c r="A1" s="4" t="s">
        <v>3455</v>
      </c>
      <c r="B1" t="s">
        <v>3475</v>
      </c>
    </row>
    <row r="2" spans="1:3" x14ac:dyDescent="0.2">
      <c r="A2" s="4" t="s">
        <v>3453</v>
      </c>
      <c r="B2" t="s">
        <v>3475</v>
      </c>
    </row>
    <row r="4" spans="1:3" x14ac:dyDescent="0.2">
      <c r="A4" s="4" t="s">
        <v>3476</v>
      </c>
      <c r="B4" s="4" t="s">
        <v>3490</v>
      </c>
    </row>
    <row r="5" spans="1:3" x14ac:dyDescent="0.2">
      <c r="A5" s="4" t="s">
        <v>3472</v>
      </c>
      <c r="B5" t="s">
        <v>8</v>
      </c>
      <c r="C5" t="s">
        <v>3473</v>
      </c>
    </row>
    <row r="6" spans="1:3" x14ac:dyDescent="0.2">
      <c r="A6" s="42">
        <v>46029</v>
      </c>
      <c r="B6" s="6">
        <v>100000</v>
      </c>
      <c r="C6" s="6">
        <v>100000</v>
      </c>
    </row>
    <row r="7" spans="1:3" x14ac:dyDescent="0.2">
      <c r="A7" s="5" t="s">
        <v>3473</v>
      </c>
      <c r="B7" s="6">
        <v>100000</v>
      </c>
      <c r="C7" s="6">
        <v>100000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53953-5D49-054C-A636-5A9B70544AA2}">
  <dimension ref="A1:B5"/>
  <sheetViews>
    <sheetView workbookViewId="0">
      <selection activeCell="B9" sqref="B9"/>
    </sheetView>
  </sheetViews>
  <sheetFormatPr baseColWidth="10" defaultRowHeight="16" x14ac:dyDescent="0.2"/>
  <cols>
    <col min="1" max="1" width="13" bestFit="1" customWidth="1"/>
    <col min="2" max="3" width="13.33203125" bestFit="1" customWidth="1"/>
  </cols>
  <sheetData>
    <row r="1" spans="1:2" x14ac:dyDescent="0.2">
      <c r="A1" s="4" t="s">
        <v>3455</v>
      </c>
      <c r="B1" t="s">
        <v>3475</v>
      </c>
    </row>
    <row r="3" spans="1:2" x14ac:dyDescent="0.2">
      <c r="A3" s="4" t="s">
        <v>3472</v>
      </c>
      <c r="B3" t="s">
        <v>3503</v>
      </c>
    </row>
    <row r="4" spans="1:2" x14ac:dyDescent="0.2">
      <c r="A4" s="42">
        <v>46029</v>
      </c>
      <c r="B4" s="41">
        <v>-369345</v>
      </c>
    </row>
    <row r="5" spans="1:2" x14ac:dyDescent="0.2">
      <c r="A5" s="5" t="s">
        <v>3473</v>
      </c>
      <c r="B5" s="41">
        <v>-369345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A654B3-501C-4720-8E77-D0126D5CF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Dashboard</vt:lpstr>
      <vt:lpstr>Portfolio</vt:lpstr>
      <vt:lpstr>_prices (internal)</vt:lpstr>
      <vt:lpstr>_symbols (internal)</vt:lpstr>
      <vt:lpstr>_pivot table 1 (internal)</vt:lpstr>
      <vt:lpstr>_pivot table 2 (internal)</vt:lpstr>
      <vt:lpstr>_pivot table 3 (internal)</vt:lpstr>
      <vt:lpstr>_pivot table 4 (internal)</vt:lpstr>
      <vt:lpstr>_pivot table 5 (internal)</vt:lpstr>
      <vt:lpstr>SymbolList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 Nhat Phong</dc:creator>
  <cp:keywords/>
  <dc:description/>
  <cp:lastModifiedBy>Do Nhat Phong</cp:lastModifiedBy>
  <cp:revision/>
  <dcterms:created xsi:type="dcterms:W3CDTF">2025-12-26T09:54:57Z</dcterms:created>
  <dcterms:modified xsi:type="dcterms:W3CDTF">2026-01-07T16:09:32Z</dcterms:modified>
  <cp:category/>
  <cp:contentStatus/>
</cp:coreProperties>
</file>